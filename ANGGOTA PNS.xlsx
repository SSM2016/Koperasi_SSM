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SUD KOTA TANGERANG TA 2026\KOPERASI TAHUN 2026\BELAJAR KODING\"/>
    </mc:Choice>
  </mc:AlternateContent>
  <xr:revisionPtr revIDLastSave="0" documentId="13_ncr:1_{ED3518D0-659C-4406-AB85-3908899634CC}" xr6:coauthVersionLast="47" xr6:coauthVersionMax="47" xr10:uidLastSave="{00000000-0000-0000-0000-000000000000}"/>
  <bookViews>
    <workbookView xWindow="-120" yWindow="-120" windowWidth="29040" windowHeight="15720" xr2:uid="{2CE6C800-A72B-418E-B285-E4224CFEFF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3" i="1"/>
</calcChain>
</file>

<file path=xl/sharedStrings.xml><?xml version="1.0" encoding="utf-8"?>
<sst xmlns="http://schemas.openxmlformats.org/spreadsheetml/2006/main" count="492" uniqueCount="314">
  <si>
    <t>dr. DINI ANGGRAENI, MM</t>
  </si>
  <si>
    <t>dr. H. YUSUF ALFIAN GEOVANNY, MKM</t>
  </si>
  <si>
    <t>dr. RIMA FATIMAH</t>
  </si>
  <si>
    <t>dr. TINTIN SUPRIATIN</t>
  </si>
  <si>
    <t>DR. drg. LULU FARADIS</t>
  </si>
  <si>
    <t>ENI SETYAWATI</t>
  </si>
  <si>
    <t>KHAIRUL CHANDRA</t>
  </si>
  <si>
    <t>MUHAMAD MUCHLAS</t>
  </si>
  <si>
    <t>SUSI HARTATI</t>
  </si>
  <si>
    <t>TUHPATUL AHWAZI</t>
  </si>
  <si>
    <t>ADE EUIS ISTIANA</t>
  </si>
  <si>
    <t>AFRIANA KUSWARDANI</t>
  </si>
  <si>
    <t>AHMAD TARMIZI</t>
  </si>
  <si>
    <t>ANITA HELLENA WEHANTOUW</t>
  </si>
  <si>
    <t>ARIANA WIDYASTUTI</t>
  </si>
  <si>
    <t>ARMAN</t>
  </si>
  <si>
    <t>DARU HERI T</t>
  </si>
  <si>
    <t>DARU KRISTANTO</t>
  </si>
  <si>
    <t>DENI ARIANDA</t>
  </si>
  <si>
    <t>DESSY NIRMALA WATI</t>
  </si>
  <si>
    <t>DESTIANTI UTAMI NINGSIH</t>
  </si>
  <si>
    <t>DEWI HARYATI</t>
  </si>
  <si>
    <t>DHEVIEN YANWAR CITRA DEWI</t>
  </si>
  <si>
    <t>DIAN PERWITA F</t>
  </si>
  <si>
    <t>dr. AGUS SUJONO. SP.OG</t>
  </si>
  <si>
    <t>dr. DIO RANCHA PRATAMA</t>
  </si>
  <si>
    <t>dr. ERNY YUSNITA</t>
  </si>
  <si>
    <t>dr. ETY DARMELA, SP.M</t>
  </si>
  <si>
    <t>dr. KHOTIB AMIN ZAMAYEL</t>
  </si>
  <si>
    <t>dr. IDA FARIDA</t>
  </si>
  <si>
    <t>dr. MAMIK DIANAWATI</t>
  </si>
  <si>
    <t>dr. PRATIWI INDAR PALUPI</t>
  </si>
  <si>
    <t>dr. PRATIWI RUKMANA</t>
  </si>
  <si>
    <t>dr. RANY MARYANI</t>
  </si>
  <si>
    <t>dr. SRI ROSLINA MKK, Sp. OK</t>
  </si>
  <si>
    <t>dr. TOGU YUGA FITRAH N.</t>
  </si>
  <si>
    <t>dr. WIRA LUCIANA HUTADJULU</t>
  </si>
  <si>
    <t>drg. ALFIA AFANTY, SP. KGA</t>
  </si>
  <si>
    <t>drg. FIKA SASTRAMAYA K</t>
  </si>
  <si>
    <t>drg. NOOR RACHMAWATI</t>
  </si>
  <si>
    <t>drg. RIDA AFRIYENTI</t>
  </si>
  <si>
    <t>drg. SITI RAHMANI, SP. ORT</t>
  </si>
  <si>
    <t>EVI ERIAWATI TAMBUNAN</t>
  </si>
  <si>
    <t>FERI HARITS</t>
  </si>
  <si>
    <t>HARI CAHYADI</t>
  </si>
  <si>
    <t>HIDAYATI</t>
  </si>
  <si>
    <t>IKA RATNA DEVANI</t>
  </si>
  <si>
    <t>INTAN KUSUMA DIANTY, SKM</t>
  </si>
  <si>
    <t>JUARIYAH</t>
  </si>
  <si>
    <t>LAILA SHAFARINA</t>
  </si>
  <si>
    <t>LIA FATMELIA</t>
  </si>
  <si>
    <t>LIDYA FANIDA</t>
  </si>
  <si>
    <t>LILIS HARYANTI</t>
  </si>
  <si>
    <t>LINDA HASNAWATI</t>
  </si>
  <si>
    <t>LORENSIUS EMIL DJERANU</t>
  </si>
  <si>
    <t>MARIANTY ABAS</t>
  </si>
  <si>
    <t>MERI MERLIAWATI</t>
  </si>
  <si>
    <t>MILDA MUSDALIFAH</t>
  </si>
  <si>
    <t>MISTILAWATI</t>
  </si>
  <si>
    <t>NALIM MAULANA</t>
  </si>
  <si>
    <t>NOFI YUNAWATI</t>
  </si>
  <si>
    <t>NOVITA WIDYARTI</t>
  </si>
  <si>
    <t>NURIL FATIHAH</t>
  </si>
  <si>
    <t>NURUL AZWAR</t>
  </si>
  <si>
    <t>NURUL FALAH</t>
  </si>
  <si>
    <t>OYOL KENCANASARI</t>
  </si>
  <si>
    <t>RISDAH YULIANA</t>
  </si>
  <si>
    <t>SAMSUDIN</t>
  </si>
  <si>
    <t>SAMSUHILAL</t>
  </si>
  <si>
    <t>SITI HAJAR AMANATA</t>
  </si>
  <si>
    <t>SITI NURMAYA</t>
  </si>
  <si>
    <t>SITI MUDIAH</t>
  </si>
  <si>
    <t>SITTI ALAWIYAH M</t>
  </si>
  <si>
    <t xml:space="preserve">SITTI FATIMAH </t>
  </si>
  <si>
    <t>SLAMET SUGIHARYO</t>
  </si>
  <si>
    <t>SRI FAJRIAH NUR</t>
  </si>
  <si>
    <t>SRI IRAWATI</t>
  </si>
  <si>
    <t>SRI YUNINGSIH</t>
  </si>
  <si>
    <t>SUNARTI PUJI RAHAYU</t>
  </si>
  <si>
    <t>SUSANTI</t>
  </si>
  <si>
    <t>SUZANA MAHDALENA</t>
  </si>
  <si>
    <t>THOMAS SEMBIRING</t>
  </si>
  <si>
    <t>TITI PURNITI</t>
  </si>
  <si>
    <t>TRI RETNO MARDIANI</t>
  </si>
  <si>
    <t>TUTI INDAHYANI</t>
  </si>
  <si>
    <t>UMAEROH</t>
  </si>
  <si>
    <t>UTAMI FETLINA SAODAH</t>
  </si>
  <si>
    <t>VENNY LISVITA</t>
  </si>
  <si>
    <t>WIDYA KURNIA RAHMAWATI</t>
  </si>
  <si>
    <t>YANWAR BUDI YANTO</t>
  </si>
  <si>
    <t>YATMI KURNIAWATI</t>
  </si>
  <si>
    <t>YAYA NAILA AZMA</t>
  </si>
  <si>
    <t>YESHIKA MAHARANI</t>
  </si>
  <si>
    <t>YULI SAFITRI</t>
  </si>
  <si>
    <t>YULIANTI ELSE</t>
  </si>
  <si>
    <t xml:space="preserve">YULIASIH </t>
  </si>
  <si>
    <t>DINAS KESEHATAN</t>
  </si>
  <si>
    <t>0123210168821</t>
  </si>
  <si>
    <t>DIREKTUR</t>
  </si>
  <si>
    <t>0123210169256</t>
  </si>
  <si>
    <t>KABID LITBANG</t>
  </si>
  <si>
    <t>0004134451100</t>
  </si>
  <si>
    <t>RANAP</t>
  </si>
  <si>
    <t>0003593223100</t>
  </si>
  <si>
    <t>KASIE LITBANG</t>
  </si>
  <si>
    <t>0030039491100</t>
  </si>
  <si>
    <t>KASUBAG KEPEGAWAIAN</t>
  </si>
  <si>
    <t>0123210160200</t>
  </si>
  <si>
    <t>KASUBAG KEUANGAN</t>
  </si>
  <si>
    <t>0009386092100</t>
  </si>
  <si>
    <t>KASIE PERENCANAAN</t>
  </si>
  <si>
    <t>0123100118746</t>
  </si>
  <si>
    <t>KASUBAG UMUM</t>
  </si>
  <si>
    <t>0123100119388</t>
  </si>
  <si>
    <t>KANTOR ARSIP</t>
  </si>
  <si>
    <t>0006844553100</t>
  </si>
  <si>
    <t>PELAYANAN MEDIK</t>
  </si>
  <si>
    <t>0009202951100</t>
  </si>
  <si>
    <t>0028306369100</t>
  </si>
  <si>
    <t>PERAWAT AHLI PRATAMA</t>
  </si>
  <si>
    <t>0094661714100</t>
  </si>
  <si>
    <t>BIDAN MAHIR/PELAKSANA LANJUTAN</t>
  </si>
  <si>
    <t>0074883230100</t>
  </si>
  <si>
    <t>0058875120101</t>
  </si>
  <si>
    <t>FARMASI</t>
  </si>
  <si>
    <t>0037068160100</t>
  </si>
  <si>
    <t>UMUM</t>
  </si>
  <si>
    <t>0013213127100</t>
  </si>
  <si>
    <t>PELAYANAN PENUNJANG</t>
  </si>
  <si>
    <t>0010472245100</t>
  </si>
  <si>
    <t>KEUANGAN</t>
  </si>
  <si>
    <t>0010329035100</t>
  </si>
  <si>
    <t>0065203375100</t>
  </si>
  <si>
    <t>0094662788100</t>
  </si>
  <si>
    <t>0094511453100</t>
  </si>
  <si>
    <t>0014110526100</t>
  </si>
  <si>
    <t>0003647481100</t>
  </si>
  <si>
    <t>RAJAL</t>
  </si>
  <si>
    <t>0011932835101</t>
  </si>
  <si>
    <t>0096403852100</t>
  </si>
  <si>
    <t>VERIFIKASI</t>
  </si>
  <si>
    <t>0035013180100</t>
  </si>
  <si>
    <t>RAWAT JALAN</t>
  </si>
  <si>
    <t>0064716522100</t>
  </si>
  <si>
    <t>KASIE YANMED</t>
  </si>
  <si>
    <t>0011081861101</t>
  </si>
  <si>
    <t>0124991773100</t>
  </si>
  <si>
    <t>IGD</t>
  </si>
  <si>
    <t>0056410732100</t>
  </si>
  <si>
    <t>0033899742100</t>
  </si>
  <si>
    <t>0112951733100</t>
  </si>
  <si>
    <t>0025978463100</t>
  </si>
  <si>
    <t>SPESIALIS OKUPASI</t>
  </si>
  <si>
    <t>0002175347100</t>
  </si>
  <si>
    <t>SPESIALIS BEDAH</t>
  </si>
  <si>
    <t>0013348308100</t>
  </si>
  <si>
    <t>0027974732100</t>
  </si>
  <si>
    <t>0013340749100</t>
  </si>
  <si>
    <t>0021448631101</t>
  </si>
  <si>
    <t>PERENCANAAN &amp; LITBANG</t>
  </si>
  <si>
    <t>0021043834102</t>
  </si>
  <si>
    <t>PKM TANAH TINGGI</t>
  </si>
  <si>
    <t>0005963222100</t>
  </si>
  <si>
    <t>0003308235100</t>
  </si>
  <si>
    <t>0064917455100</t>
  </si>
  <si>
    <t>0014841865100</t>
  </si>
  <si>
    <t>KEPEGAWAIAN</t>
  </si>
  <si>
    <t>0006014089100</t>
  </si>
  <si>
    <t>0033899866101</t>
  </si>
  <si>
    <t>0065069733100</t>
  </si>
  <si>
    <t>0094518229100</t>
  </si>
  <si>
    <t>SUB BAGIAN KEUANGAN</t>
  </si>
  <si>
    <t>0124997534100</t>
  </si>
  <si>
    <t>0027005705100</t>
  </si>
  <si>
    <t>KEBIDANAN</t>
  </si>
  <si>
    <t>0010587281100</t>
  </si>
  <si>
    <t>0009508260100</t>
  </si>
  <si>
    <t>0074817734100</t>
  </si>
  <si>
    <t>0015748788101</t>
  </si>
  <si>
    <t>0028296592100</t>
  </si>
  <si>
    <t>RADIOLOGI</t>
  </si>
  <si>
    <t>0033900740100</t>
  </si>
  <si>
    <t>0073100217880</t>
  </si>
  <si>
    <t>0125003877100</t>
  </si>
  <si>
    <t>0123210160126</t>
  </si>
  <si>
    <t>0020276940100</t>
  </si>
  <si>
    <t>0010318041100</t>
  </si>
  <si>
    <t>PEMBIMBING KESEHATAN KERJA AHLI PRATAMA</t>
  </si>
  <si>
    <t>0021943738100</t>
  </si>
  <si>
    <t>0009543661100</t>
  </si>
  <si>
    <t>IPSRS</t>
  </si>
  <si>
    <t>0012115288100</t>
  </si>
  <si>
    <t>0007082101100</t>
  </si>
  <si>
    <t>0025978481100</t>
  </si>
  <si>
    <t>0027005284101</t>
  </si>
  <si>
    <t>0020264128100</t>
  </si>
  <si>
    <t>0004526155100</t>
  </si>
  <si>
    <t>0005387620100</t>
  </si>
  <si>
    <t>GIZI</t>
  </si>
  <si>
    <t>0067401077100</t>
  </si>
  <si>
    <t>0102748174100</t>
  </si>
  <si>
    <t>0123200176398</t>
  </si>
  <si>
    <t>0123210141282</t>
  </si>
  <si>
    <t>0037066931100</t>
  </si>
  <si>
    <t>0094662168100</t>
  </si>
  <si>
    <t>0028295219100</t>
  </si>
  <si>
    <t>0026594626101</t>
  </si>
  <si>
    <t>0022199250101</t>
  </si>
  <si>
    <t>0028309120100</t>
  </si>
  <si>
    <t>0026710944100</t>
  </si>
  <si>
    <t>0033901097101</t>
  </si>
  <si>
    <t>0013147817101</t>
  </si>
  <si>
    <t>0009388303100</t>
  </si>
  <si>
    <t>0025978838100</t>
  </si>
  <si>
    <t>0009509259100</t>
  </si>
  <si>
    <t>HEMODIALISA</t>
  </si>
  <si>
    <t>0009396179100</t>
  </si>
  <si>
    <t>0026711355100</t>
  </si>
  <si>
    <t>0012159633100</t>
  </si>
  <si>
    <t>0008026033100</t>
  </si>
  <si>
    <t>0004279735100</t>
  </si>
  <si>
    <t>0020227583100</t>
  </si>
  <si>
    <t>0028317719100</t>
  </si>
  <si>
    <t>0025828712100</t>
  </si>
  <si>
    <t>0037067131100</t>
  </si>
  <si>
    <t>INTENSIF</t>
  </si>
  <si>
    <t>0006836631100</t>
  </si>
  <si>
    <t>-</t>
  </si>
  <si>
    <t>089679758575</t>
  </si>
  <si>
    <t>081310010273</t>
  </si>
  <si>
    <t>081380576459</t>
  </si>
  <si>
    <t>0</t>
  </si>
  <si>
    <t>08158875182</t>
  </si>
  <si>
    <t>08128172795</t>
  </si>
  <si>
    <t>08128205040</t>
  </si>
  <si>
    <t>088808938375</t>
  </si>
  <si>
    <t>081511397936</t>
  </si>
  <si>
    <t>081283655336</t>
  </si>
  <si>
    <t>081314114424</t>
  </si>
  <si>
    <t>085293244605</t>
  </si>
  <si>
    <t>08998053258</t>
  </si>
  <si>
    <t>081290585129</t>
  </si>
  <si>
    <t>082112619268</t>
  </si>
  <si>
    <t>08118700055</t>
  </si>
  <si>
    <t>085750750508</t>
  </si>
  <si>
    <t>08127834183</t>
  </si>
  <si>
    <t>08118742277</t>
  </si>
  <si>
    <t>081517117074</t>
  </si>
  <si>
    <t>08124836556</t>
  </si>
  <si>
    <t>085292001022</t>
  </si>
  <si>
    <t>0811977965</t>
  </si>
  <si>
    <t>087888907080</t>
  </si>
  <si>
    <t>081213588931</t>
  </si>
  <si>
    <t>08129345809</t>
  </si>
  <si>
    <t>08128966060</t>
  </si>
  <si>
    <t>081297277702</t>
  </si>
  <si>
    <t>08891319228</t>
  </si>
  <si>
    <t>081281671060</t>
  </si>
  <si>
    <t>087876564702</t>
  </si>
  <si>
    <t>087774147914</t>
  </si>
  <si>
    <t>08561142343</t>
  </si>
  <si>
    <t>08125317173</t>
  </si>
  <si>
    <t>081399330111</t>
  </si>
  <si>
    <t>085659582725</t>
  </si>
  <si>
    <t>089504030443</t>
  </si>
  <si>
    <t>08159966514</t>
  </si>
  <si>
    <t>081381704233</t>
  </si>
  <si>
    <t>081383407982</t>
  </si>
  <si>
    <t>081291794342</t>
  </si>
  <si>
    <t>087772269788</t>
  </si>
  <si>
    <t>081288944747</t>
  </si>
  <si>
    <t>089602433510</t>
  </si>
  <si>
    <t>082213908544</t>
  </si>
  <si>
    <t>087885231650</t>
  </si>
  <si>
    <t>085929862167</t>
  </si>
  <si>
    <t>08121151558</t>
  </si>
  <si>
    <t>08121868027</t>
  </si>
  <si>
    <t>081311331811</t>
  </si>
  <si>
    <t>081296397105</t>
  </si>
  <si>
    <t>085721424664</t>
  </si>
  <si>
    <t>081317260548</t>
  </si>
  <si>
    <t>087829274786</t>
  </si>
  <si>
    <t>081281543926</t>
  </si>
  <si>
    <t>085274102974</t>
  </si>
  <si>
    <t>081315332419</t>
  </si>
  <si>
    <t>08985844452</t>
  </si>
  <si>
    <t>081586182099</t>
  </si>
  <si>
    <t>081297233847</t>
  </si>
  <si>
    <t>081363230002</t>
  </si>
  <si>
    <t>88981701</t>
  </si>
  <si>
    <t>08176735111</t>
  </si>
  <si>
    <t>081513350207</t>
  </si>
  <si>
    <t>081311436155</t>
  </si>
  <si>
    <t>081299425844</t>
  </si>
  <si>
    <t>0856436228934</t>
  </si>
  <si>
    <t>081371374544</t>
  </si>
  <si>
    <t>082112801413</t>
  </si>
  <si>
    <t>081906080904</t>
  </si>
  <si>
    <t>NAMA</t>
  </si>
  <si>
    <t>DINAS/BAGIAN/UNIT</t>
  </si>
  <si>
    <t>NOMOR REKENING BANK</t>
  </si>
  <si>
    <t>BULAN TAHUN MENJADI ANGGOTA</t>
  </si>
  <si>
    <t>NOMOR TELEPON</t>
  </si>
  <si>
    <t>JENIS KELAMIN</t>
  </si>
  <si>
    <t>SIMPANAN POKOK</t>
  </si>
  <si>
    <t>SIMPANAN SUKARELA</t>
  </si>
  <si>
    <t>SIMPANAN WAJIB</t>
  </si>
  <si>
    <t>JASA PINJAMAN</t>
  </si>
  <si>
    <t>PINJAMAN</t>
  </si>
  <si>
    <t>PEREMPUAN</t>
  </si>
  <si>
    <t>LAKI LAKI</t>
  </si>
  <si>
    <t>KABID YANMED</t>
  </si>
  <si>
    <t>LITBANG</t>
  </si>
  <si>
    <t>NOMOR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</si>
</sst>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Fill="1" applyBorder="1"/>
    <xf numFmtId="14" fontId="2" fillId="0" borderId="0" xfId="0" applyNumberFormat="1" applyFont="1" applyFill="1" applyBorder="1"/>
    <xf numFmtId="0" fontId="3" fillId="0" borderId="1" xfId="0" applyFont="1" applyFill="1" applyBorder="1" applyAlignment="1">
      <alignment horizontal="center"/>
    </xf>
    <xf numFmtId="14" fontId="3" fillId="0" borderId="1" xfId="0" applyNumberFormat="1" applyFont="1" applyFill="1" applyBorder="1" applyAlignment="1">
      <alignment horizontal="center"/>
    </xf>
    <xf numFmtId="0" fontId="2" fillId="0" borderId="1" xfId="0" applyFont="1" applyFill="1" applyBorder="1"/>
    <xf numFmtId="14" fontId="1" fillId="0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63694-08A3-4F11-AC20-50B13B21327A}">
  <dimension ref="A1:L97"/>
  <sheetViews>
    <sheetView tabSelected="1" workbookViewId="0">
      <selection activeCell="L1" sqref="L1"/>
    </sheetView>
  </sheetViews>
  <sheetFormatPr defaultRowHeight="13.5" x14ac:dyDescent="0.25"/>
  <cols>
    <col min="1" max="1" width="11.7109375" style="1" customWidth="1"/>
    <col min="2" max="2" width="31.140625" style="1" customWidth="1"/>
    <col min="3" max="3" width="16.28515625" style="1" customWidth="1"/>
    <col min="4" max="4" width="21.140625" style="1" customWidth="1"/>
    <col min="5" max="5" width="19.85546875" style="1" bestFit="1" customWidth="1"/>
    <col min="6" max="6" width="27" style="2" bestFit="1" customWidth="1"/>
    <col min="7" max="7" width="14.5703125" style="1" bestFit="1" customWidth="1"/>
    <col min="8" max="8" width="15" style="1" bestFit="1" customWidth="1"/>
    <col min="9" max="9" width="14" style="1" bestFit="1" customWidth="1"/>
    <col min="10" max="10" width="17.5703125" style="1" bestFit="1" customWidth="1"/>
    <col min="11" max="11" width="12.42578125" style="1" bestFit="1" customWidth="1"/>
    <col min="12" max="12" width="14.28515625" style="1" bestFit="1" customWidth="1"/>
    <col min="13" max="16384" width="9.140625" style="1"/>
  </cols>
  <sheetData>
    <row r="1" spans="1:12" x14ac:dyDescent="0.25">
      <c r="A1" s="3" t="s">
        <v>313</v>
      </c>
      <c r="B1" s="3" t="s">
        <v>298</v>
      </c>
      <c r="C1" s="3" t="s">
        <v>303</v>
      </c>
      <c r="D1" s="3" t="s">
        <v>299</v>
      </c>
      <c r="E1" s="3" t="s">
        <v>300</v>
      </c>
      <c r="F1" s="4" t="s">
        <v>301</v>
      </c>
      <c r="G1" s="3" t="s">
        <v>302</v>
      </c>
      <c r="H1" s="3" t="s">
        <v>304</v>
      </c>
      <c r="I1" s="3" t="s">
        <v>306</v>
      </c>
      <c r="J1" s="3" t="s">
        <v>305</v>
      </c>
      <c r="K1" s="3" t="s">
        <v>307</v>
      </c>
      <c r="L1" s="3" t="s">
        <v>308</v>
      </c>
    </row>
    <row r="2" spans="1:12" x14ac:dyDescent="0.25">
      <c r="A2" s="5">
        <v>1</v>
      </c>
      <c r="B2" s="5" t="s">
        <v>0</v>
      </c>
      <c r="C2" s="5" t="s">
        <v>309</v>
      </c>
      <c r="D2" s="5" t="s">
        <v>96</v>
      </c>
      <c r="E2" s="5" t="s">
        <v>97</v>
      </c>
      <c r="F2" s="6">
        <v>44317</v>
      </c>
      <c r="G2" s="5" t="s">
        <v>227</v>
      </c>
      <c r="H2" s="5">
        <v>100000</v>
      </c>
      <c r="I2" s="5">
        <v>3250000</v>
      </c>
      <c r="J2" s="5">
        <v>13000000</v>
      </c>
      <c r="K2" s="5">
        <v>0</v>
      </c>
      <c r="L2" s="5">
        <v>0</v>
      </c>
    </row>
    <row r="3" spans="1:12" x14ac:dyDescent="0.25">
      <c r="A3" s="5">
        <f>+A2+1</f>
        <v>2</v>
      </c>
      <c r="B3" s="5" t="s">
        <v>1</v>
      </c>
      <c r="C3" s="5" t="s">
        <v>310</v>
      </c>
      <c r="D3" s="5" t="s">
        <v>98</v>
      </c>
      <c r="E3" s="5" t="s">
        <v>99</v>
      </c>
      <c r="F3" s="6">
        <v>45536</v>
      </c>
      <c r="G3" s="5" t="s">
        <v>227</v>
      </c>
      <c r="H3" s="5">
        <v>100000</v>
      </c>
      <c r="I3" s="5">
        <v>1250000</v>
      </c>
      <c r="J3" s="5">
        <v>25000000</v>
      </c>
      <c r="K3" s="5">
        <v>0</v>
      </c>
      <c r="L3" s="5">
        <v>0</v>
      </c>
    </row>
    <row r="4" spans="1:12" x14ac:dyDescent="0.25">
      <c r="A4" s="5">
        <f t="shared" ref="A4:A67" si="0">+A3+1</f>
        <v>3</v>
      </c>
      <c r="B4" s="5" t="s">
        <v>2</v>
      </c>
      <c r="C4" s="5" t="s">
        <v>309</v>
      </c>
      <c r="D4" s="5" t="s">
        <v>100</v>
      </c>
      <c r="E4" s="5" t="s">
        <v>101</v>
      </c>
      <c r="F4" s="6">
        <v>42491</v>
      </c>
      <c r="G4" s="5" t="s">
        <v>227</v>
      </c>
      <c r="H4" s="5">
        <v>100000</v>
      </c>
      <c r="I4" s="5">
        <v>6250000</v>
      </c>
      <c r="J4" s="5">
        <v>33700000</v>
      </c>
      <c r="K4" s="5">
        <v>0</v>
      </c>
      <c r="L4" s="5">
        <v>0</v>
      </c>
    </row>
    <row r="5" spans="1:12" x14ac:dyDescent="0.25">
      <c r="A5" s="5">
        <f t="shared" si="0"/>
        <v>4</v>
      </c>
      <c r="B5" s="5" t="s">
        <v>3</v>
      </c>
      <c r="C5" s="5" t="s">
        <v>309</v>
      </c>
      <c r="D5" s="5" t="s">
        <v>102</v>
      </c>
      <c r="E5" s="5" t="s">
        <v>103</v>
      </c>
      <c r="F5" s="6">
        <v>42491</v>
      </c>
      <c r="G5" s="5" t="s">
        <v>228</v>
      </c>
      <c r="H5" s="5">
        <v>100000</v>
      </c>
      <c r="I5" s="5">
        <v>5950000</v>
      </c>
      <c r="J5" s="5">
        <v>8400000</v>
      </c>
      <c r="K5" s="5">
        <v>0</v>
      </c>
      <c r="L5" s="5">
        <v>0</v>
      </c>
    </row>
    <row r="6" spans="1:12" x14ac:dyDescent="0.25">
      <c r="A6" s="5">
        <f t="shared" si="0"/>
        <v>5</v>
      </c>
      <c r="B6" s="5" t="s">
        <v>4</v>
      </c>
      <c r="C6" s="5" t="s">
        <v>309</v>
      </c>
      <c r="D6" s="5" t="s">
        <v>104</v>
      </c>
      <c r="E6" s="5" t="s">
        <v>105</v>
      </c>
      <c r="F6" s="6">
        <v>42491</v>
      </c>
      <c r="G6" s="5" t="s">
        <v>229</v>
      </c>
      <c r="H6" s="5">
        <v>100000</v>
      </c>
      <c r="I6" s="5">
        <v>6250000</v>
      </c>
      <c r="J6" s="5">
        <v>0</v>
      </c>
      <c r="K6" s="5">
        <v>0</v>
      </c>
      <c r="L6" s="5">
        <v>0</v>
      </c>
    </row>
    <row r="7" spans="1:12" x14ac:dyDescent="0.25">
      <c r="A7" s="5">
        <f t="shared" si="0"/>
        <v>6</v>
      </c>
      <c r="B7" s="5" t="s">
        <v>5</v>
      </c>
      <c r="C7" s="5" t="s">
        <v>309</v>
      </c>
      <c r="D7" s="5" t="s">
        <v>106</v>
      </c>
      <c r="E7" s="5" t="s">
        <v>107</v>
      </c>
      <c r="F7" s="6">
        <v>42491</v>
      </c>
      <c r="G7" s="5" t="s">
        <v>230</v>
      </c>
      <c r="H7" s="5">
        <v>100000</v>
      </c>
      <c r="I7" s="5">
        <v>6250000</v>
      </c>
      <c r="J7" s="5">
        <v>8600000</v>
      </c>
      <c r="K7" s="5">
        <v>0</v>
      </c>
      <c r="L7" s="5">
        <v>0</v>
      </c>
    </row>
    <row r="8" spans="1:12" x14ac:dyDescent="0.25">
      <c r="A8" s="5">
        <f t="shared" si="0"/>
        <v>7</v>
      </c>
      <c r="B8" s="5" t="s">
        <v>6</v>
      </c>
      <c r="C8" s="5" t="s">
        <v>310</v>
      </c>
      <c r="D8" s="5" t="s">
        <v>108</v>
      </c>
      <c r="E8" s="5" t="s">
        <v>109</v>
      </c>
      <c r="F8" s="6">
        <v>45017</v>
      </c>
      <c r="G8" s="5" t="s">
        <v>231</v>
      </c>
      <c r="H8" s="5">
        <v>100000</v>
      </c>
      <c r="I8" s="5">
        <v>2100000</v>
      </c>
      <c r="J8" s="5">
        <v>2000000</v>
      </c>
      <c r="K8" s="5">
        <v>1000000</v>
      </c>
      <c r="L8" s="5">
        <v>11666664.555555601</v>
      </c>
    </row>
    <row r="9" spans="1:12" x14ac:dyDescent="0.25">
      <c r="A9" s="5">
        <f t="shared" si="0"/>
        <v>8</v>
      </c>
      <c r="B9" s="5" t="s">
        <v>7</v>
      </c>
      <c r="C9" s="5" t="s">
        <v>310</v>
      </c>
      <c r="D9" s="5" t="s">
        <v>110</v>
      </c>
      <c r="E9" s="5" t="s">
        <v>111</v>
      </c>
      <c r="F9" s="6">
        <v>42491</v>
      </c>
      <c r="G9" s="5" t="s">
        <v>232</v>
      </c>
      <c r="H9" s="5">
        <v>100000</v>
      </c>
      <c r="I9" s="5">
        <v>6250000</v>
      </c>
      <c r="J9" s="5">
        <v>21000000</v>
      </c>
      <c r="K9" s="5">
        <v>0</v>
      </c>
      <c r="L9" s="5">
        <v>0</v>
      </c>
    </row>
    <row r="10" spans="1:12" x14ac:dyDescent="0.25">
      <c r="A10" s="5">
        <f t="shared" si="0"/>
        <v>9</v>
      </c>
      <c r="B10" s="5" t="s">
        <v>8</v>
      </c>
      <c r="C10" s="5" t="s">
        <v>309</v>
      </c>
      <c r="D10" s="5" t="s">
        <v>112</v>
      </c>
      <c r="E10" s="5" t="s">
        <v>113</v>
      </c>
      <c r="F10" s="6">
        <v>42491</v>
      </c>
      <c r="G10" s="5" t="s">
        <v>233</v>
      </c>
      <c r="H10" s="5">
        <v>100000</v>
      </c>
      <c r="I10" s="5">
        <v>6250000</v>
      </c>
      <c r="J10" s="5">
        <v>5100000</v>
      </c>
      <c r="K10" s="5">
        <v>0</v>
      </c>
      <c r="L10" s="5">
        <v>0</v>
      </c>
    </row>
    <row r="11" spans="1:12" x14ac:dyDescent="0.25">
      <c r="A11" s="5">
        <f t="shared" si="0"/>
        <v>10</v>
      </c>
      <c r="B11" s="5" t="s">
        <v>9</v>
      </c>
      <c r="C11" s="5" t="s">
        <v>310</v>
      </c>
      <c r="D11" s="5" t="s">
        <v>114</v>
      </c>
      <c r="E11" s="5" t="s">
        <v>115</v>
      </c>
      <c r="F11" s="6">
        <v>42491</v>
      </c>
      <c r="G11" s="5" t="s">
        <v>234</v>
      </c>
      <c r="H11" s="5">
        <v>100000</v>
      </c>
      <c r="I11" s="5">
        <v>6100000</v>
      </c>
      <c r="J11" s="5">
        <v>3000000</v>
      </c>
      <c r="K11" s="5">
        <v>0</v>
      </c>
      <c r="L11" s="5">
        <v>63500000</v>
      </c>
    </row>
    <row r="12" spans="1:12" x14ac:dyDescent="0.25">
      <c r="A12" s="5">
        <f t="shared" si="0"/>
        <v>11</v>
      </c>
      <c r="B12" s="5" t="s">
        <v>10</v>
      </c>
      <c r="C12" s="5" t="s">
        <v>309</v>
      </c>
      <c r="D12" s="5" t="s">
        <v>116</v>
      </c>
      <c r="E12" s="5" t="s">
        <v>117</v>
      </c>
      <c r="F12" s="6">
        <v>42491</v>
      </c>
      <c r="G12" s="5" t="s">
        <v>235</v>
      </c>
      <c r="H12" s="5">
        <v>100000</v>
      </c>
      <c r="I12" s="5">
        <v>6250000</v>
      </c>
      <c r="J12" s="5">
        <v>1860000</v>
      </c>
      <c r="K12" s="5">
        <v>0</v>
      </c>
      <c r="L12" s="5">
        <v>0</v>
      </c>
    </row>
    <row r="13" spans="1:12" x14ac:dyDescent="0.25">
      <c r="A13" s="5">
        <f t="shared" si="0"/>
        <v>12</v>
      </c>
      <c r="B13" s="5" t="s">
        <v>11</v>
      </c>
      <c r="C13" s="5" t="s">
        <v>309</v>
      </c>
      <c r="D13" s="5" t="s">
        <v>102</v>
      </c>
      <c r="E13" s="5" t="s">
        <v>118</v>
      </c>
      <c r="F13" s="6">
        <v>45778</v>
      </c>
      <c r="G13" s="5" t="s">
        <v>227</v>
      </c>
      <c r="H13" s="5">
        <v>100000</v>
      </c>
      <c r="I13" s="5">
        <v>850000</v>
      </c>
      <c r="J13" s="5">
        <v>3500000</v>
      </c>
      <c r="K13" s="5">
        <v>0</v>
      </c>
      <c r="L13" s="5">
        <v>0</v>
      </c>
    </row>
    <row r="14" spans="1:12" x14ac:dyDescent="0.25">
      <c r="A14" s="5">
        <f t="shared" si="0"/>
        <v>13</v>
      </c>
      <c r="B14" s="5" t="s">
        <v>12</v>
      </c>
      <c r="C14" s="5" t="s">
        <v>310</v>
      </c>
      <c r="D14" s="5" t="s">
        <v>119</v>
      </c>
      <c r="E14" s="5" t="s">
        <v>120</v>
      </c>
      <c r="F14" s="6">
        <v>44256</v>
      </c>
      <c r="G14" s="5" t="s">
        <v>227</v>
      </c>
      <c r="H14" s="5">
        <v>100000</v>
      </c>
      <c r="I14" s="5">
        <v>3350000</v>
      </c>
      <c r="J14" s="5">
        <v>5000000</v>
      </c>
      <c r="K14" s="5">
        <v>0</v>
      </c>
      <c r="L14" s="5">
        <v>0</v>
      </c>
    </row>
    <row r="15" spans="1:12" x14ac:dyDescent="0.25">
      <c r="A15" s="5">
        <f t="shared" si="0"/>
        <v>14</v>
      </c>
      <c r="B15" s="5" t="s">
        <v>13</v>
      </c>
      <c r="C15" s="5" t="s">
        <v>309</v>
      </c>
      <c r="D15" s="5" t="s">
        <v>121</v>
      </c>
      <c r="E15" s="5" t="s">
        <v>122</v>
      </c>
      <c r="F15" s="6">
        <v>44256</v>
      </c>
      <c r="G15" s="5" t="s">
        <v>227</v>
      </c>
      <c r="H15" s="5">
        <v>100000</v>
      </c>
      <c r="I15" s="5">
        <v>3350000</v>
      </c>
      <c r="J15" s="5">
        <v>0</v>
      </c>
      <c r="K15" s="5">
        <v>1700000</v>
      </c>
      <c r="L15" s="5">
        <v>18333333</v>
      </c>
    </row>
    <row r="16" spans="1:12" x14ac:dyDescent="0.25">
      <c r="A16" s="5">
        <f t="shared" si="0"/>
        <v>15</v>
      </c>
      <c r="B16" s="5" t="s">
        <v>14</v>
      </c>
      <c r="C16" s="5" t="s">
        <v>309</v>
      </c>
      <c r="D16" s="5" t="s">
        <v>102</v>
      </c>
      <c r="E16" s="5" t="s">
        <v>123</v>
      </c>
      <c r="F16" s="6">
        <v>44562</v>
      </c>
      <c r="G16" s="5" t="s">
        <v>227</v>
      </c>
      <c r="H16" s="5">
        <v>100000</v>
      </c>
      <c r="I16" s="5">
        <v>2850000</v>
      </c>
      <c r="J16" s="5">
        <v>3500000</v>
      </c>
      <c r="K16" s="5">
        <v>250000</v>
      </c>
      <c r="L16" s="5">
        <v>2500000</v>
      </c>
    </row>
    <row r="17" spans="1:12" x14ac:dyDescent="0.25">
      <c r="A17" s="5">
        <f t="shared" si="0"/>
        <v>16</v>
      </c>
      <c r="B17" s="5" t="s">
        <v>15</v>
      </c>
      <c r="C17" s="5" t="s">
        <v>310</v>
      </c>
      <c r="D17" s="5" t="s">
        <v>124</v>
      </c>
      <c r="E17" s="5" t="s">
        <v>125</v>
      </c>
      <c r="F17" s="6">
        <v>42491</v>
      </c>
      <c r="G17" s="5" t="s">
        <v>236</v>
      </c>
      <c r="H17" s="5">
        <v>100000</v>
      </c>
      <c r="I17" s="5">
        <v>6250000</v>
      </c>
      <c r="J17" s="5">
        <v>6250000</v>
      </c>
      <c r="K17" s="5">
        <v>0</v>
      </c>
      <c r="L17" s="5">
        <v>0</v>
      </c>
    </row>
    <row r="18" spans="1:12" x14ac:dyDescent="0.25">
      <c r="A18" s="5">
        <f t="shared" si="0"/>
        <v>17</v>
      </c>
      <c r="B18" s="5" t="s">
        <v>16</v>
      </c>
      <c r="C18" s="5" t="s">
        <v>310</v>
      </c>
      <c r="D18" s="5" t="s">
        <v>126</v>
      </c>
      <c r="E18" s="5" t="s">
        <v>127</v>
      </c>
      <c r="F18" s="6">
        <v>42491</v>
      </c>
      <c r="G18" s="5" t="s">
        <v>237</v>
      </c>
      <c r="H18" s="5">
        <v>100000</v>
      </c>
      <c r="I18" s="5">
        <v>6250000</v>
      </c>
      <c r="J18" s="5">
        <v>600000</v>
      </c>
      <c r="K18" s="5">
        <v>180000</v>
      </c>
      <c r="L18" s="5">
        <v>1600000</v>
      </c>
    </row>
    <row r="19" spans="1:12" x14ac:dyDescent="0.25">
      <c r="A19" s="5">
        <f t="shared" si="0"/>
        <v>18</v>
      </c>
      <c r="B19" s="5" t="s">
        <v>17</v>
      </c>
      <c r="C19" s="5" t="s">
        <v>310</v>
      </c>
      <c r="D19" s="5" t="s">
        <v>128</v>
      </c>
      <c r="E19" s="5" t="s">
        <v>129</v>
      </c>
      <c r="F19" s="6">
        <v>42491</v>
      </c>
      <c r="G19" s="5" t="s">
        <v>238</v>
      </c>
      <c r="H19" s="5">
        <v>100000</v>
      </c>
      <c r="I19" s="5">
        <v>6250000</v>
      </c>
      <c r="J19" s="5">
        <v>1100000</v>
      </c>
      <c r="K19" s="5">
        <v>0</v>
      </c>
      <c r="L19" s="5">
        <v>0</v>
      </c>
    </row>
    <row r="20" spans="1:12" x14ac:dyDescent="0.25">
      <c r="A20" s="5">
        <f t="shared" si="0"/>
        <v>19</v>
      </c>
      <c r="B20" s="5" t="s">
        <v>18</v>
      </c>
      <c r="C20" s="5" t="s">
        <v>310</v>
      </c>
      <c r="D20" s="5" t="s">
        <v>130</v>
      </c>
      <c r="E20" s="5" t="s">
        <v>131</v>
      </c>
      <c r="F20" s="6">
        <v>42491</v>
      </c>
      <c r="G20" s="5" t="s">
        <v>239</v>
      </c>
      <c r="H20" s="5">
        <v>100000</v>
      </c>
      <c r="I20" s="5">
        <v>6250000</v>
      </c>
      <c r="J20" s="5">
        <v>200000</v>
      </c>
      <c r="K20" s="5">
        <v>0</v>
      </c>
      <c r="L20" s="5">
        <v>0</v>
      </c>
    </row>
    <row r="21" spans="1:12" x14ac:dyDescent="0.25">
      <c r="A21" s="5">
        <f t="shared" si="0"/>
        <v>20</v>
      </c>
      <c r="B21" s="5" t="s">
        <v>19</v>
      </c>
      <c r="C21" s="5" t="s">
        <v>309</v>
      </c>
      <c r="D21" s="5" t="s">
        <v>116</v>
      </c>
      <c r="E21" s="5" t="s">
        <v>132</v>
      </c>
      <c r="F21" s="6">
        <v>42491</v>
      </c>
      <c r="G21" s="5" t="s">
        <v>240</v>
      </c>
      <c r="H21" s="5">
        <v>100000</v>
      </c>
      <c r="I21" s="5">
        <v>6250000</v>
      </c>
      <c r="J21" s="5">
        <v>2050000</v>
      </c>
      <c r="K21" s="5">
        <v>0</v>
      </c>
      <c r="L21" s="5">
        <v>0</v>
      </c>
    </row>
    <row r="22" spans="1:12" x14ac:dyDescent="0.25">
      <c r="A22" s="5">
        <f t="shared" si="0"/>
        <v>21</v>
      </c>
      <c r="B22" s="5" t="s">
        <v>20</v>
      </c>
      <c r="C22" s="5" t="s">
        <v>309</v>
      </c>
      <c r="D22" s="5" t="s">
        <v>102</v>
      </c>
      <c r="E22" s="5" t="s">
        <v>133</v>
      </c>
      <c r="F22" s="6">
        <v>44256</v>
      </c>
      <c r="G22" s="5" t="s">
        <v>227</v>
      </c>
      <c r="H22" s="5">
        <v>100000</v>
      </c>
      <c r="I22" s="5">
        <v>2950000</v>
      </c>
      <c r="J22" s="5">
        <v>150000</v>
      </c>
      <c r="K22" s="5">
        <v>0</v>
      </c>
      <c r="L22" s="5">
        <v>0</v>
      </c>
    </row>
    <row r="23" spans="1:12" x14ac:dyDescent="0.25">
      <c r="A23" s="5">
        <f t="shared" si="0"/>
        <v>22</v>
      </c>
      <c r="B23" s="5" t="s">
        <v>21</v>
      </c>
      <c r="C23" s="5" t="s">
        <v>309</v>
      </c>
      <c r="D23" s="5" t="s">
        <v>128</v>
      </c>
      <c r="E23" s="5" t="s">
        <v>134</v>
      </c>
      <c r="F23" s="6">
        <v>44652</v>
      </c>
      <c r="G23" s="5" t="s">
        <v>227</v>
      </c>
      <c r="H23" s="5">
        <v>100000</v>
      </c>
      <c r="I23" s="5">
        <v>2700000</v>
      </c>
      <c r="J23" s="5">
        <v>800000</v>
      </c>
      <c r="K23" s="5">
        <v>0</v>
      </c>
      <c r="L23" s="5">
        <v>0</v>
      </c>
    </row>
    <row r="24" spans="1:12" x14ac:dyDescent="0.25">
      <c r="A24" s="5">
        <f t="shared" si="0"/>
        <v>23</v>
      </c>
      <c r="B24" s="5" t="s">
        <v>22</v>
      </c>
      <c r="C24" s="5" t="s">
        <v>309</v>
      </c>
      <c r="D24" s="5" t="s">
        <v>128</v>
      </c>
      <c r="E24" s="5" t="s">
        <v>135</v>
      </c>
      <c r="F24" s="6">
        <v>42491</v>
      </c>
      <c r="G24" s="5" t="s">
        <v>241</v>
      </c>
      <c r="H24" s="5">
        <v>100000</v>
      </c>
      <c r="I24" s="5">
        <v>6250000</v>
      </c>
      <c r="J24" s="5">
        <v>4300000</v>
      </c>
      <c r="K24" s="5">
        <v>2520000</v>
      </c>
      <c r="L24" s="5">
        <v>9000000</v>
      </c>
    </row>
    <row r="25" spans="1:12" x14ac:dyDescent="0.25">
      <c r="A25" s="5">
        <f t="shared" si="0"/>
        <v>24</v>
      </c>
      <c r="B25" s="5" t="s">
        <v>23</v>
      </c>
      <c r="C25" s="5" t="s">
        <v>309</v>
      </c>
      <c r="D25" s="5" t="s">
        <v>102</v>
      </c>
      <c r="E25" s="5" t="s">
        <v>136</v>
      </c>
      <c r="F25" s="6">
        <v>42491</v>
      </c>
      <c r="G25" s="5" t="s">
        <v>242</v>
      </c>
      <c r="H25" s="5">
        <v>100000</v>
      </c>
      <c r="I25" s="5">
        <v>6250000</v>
      </c>
      <c r="J25" s="5">
        <v>4925000</v>
      </c>
      <c r="K25" s="5">
        <v>600000</v>
      </c>
      <c r="L25" s="5">
        <v>0</v>
      </c>
    </row>
    <row r="26" spans="1:12" x14ac:dyDescent="0.25">
      <c r="A26" s="5">
        <f t="shared" si="0"/>
        <v>25</v>
      </c>
      <c r="B26" s="5" t="s">
        <v>24</v>
      </c>
      <c r="C26" s="5" t="s">
        <v>310</v>
      </c>
      <c r="D26" s="5" t="s">
        <v>137</v>
      </c>
      <c r="E26" s="5" t="s">
        <v>138</v>
      </c>
      <c r="F26" s="6">
        <v>42491</v>
      </c>
      <c r="G26" s="5" t="s">
        <v>243</v>
      </c>
      <c r="H26" s="5">
        <v>100000</v>
      </c>
      <c r="I26" s="5">
        <v>6250000</v>
      </c>
      <c r="J26" s="5">
        <v>1250000</v>
      </c>
      <c r="K26" s="5">
        <v>0</v>
      </c>
      <c r="L26" s="5">
        <v>0</v>
      </c>
    </row>
    <row r="27" spans="1:12" x14ac:dyDescent="0.25">
      <c r="A27" s="5">
        <f t="shared" si="0"/>
        <v>26</v>
      </c>
      <c r="B27" s="5" t="s">
        <v>25</v>
      </c>
      <c r="C27" s="5" t="s">
        <v>310</v>
      </c>
      <c r="D27" s="5" t="s">
        <v>147</v>
      </c>
      <c r="E27" s="5" t="s">
        <v>139</v>
      </c>
      <c r="F27" s="6">
        <v>44621</v>
      </c>
      <c r="G27" s="5" t="s">
        <v>227</v>
      </c>
      <c r="H27" s="5">
        <v>100000</v>
      </c>
      <c r="I27" s="5">
        <v>2750000</v>
      </c>
      <c r="J27" s="5">
        <v>4750000</v>
      </c>
      <c r="K27" s="5">
        <v>0</v>
      </c>
      <c r="L27" s="5">
        <v>0</v>
      </c>
    </row>
    <row r="28" spans="1:12" x14ac:dyDescent="0.25">
      <c r="A28" s="5">
        <f t="shared" si="0"/>
        <v>27</v>
      </c>
      <c r="B28" s="5" t="s">
        <v>26</v>
      </c>
      <c r="C28" s="5" t="s">
        <v>309</v>
      </c>
      <c r="D28" s="5" t="s">
        <v>140</v>
      </c>
      <c r="E28" s="5" t="s">
        <v>141</v>
      </c>
      <c r="F28" s="6">
        <v>42491</v>
      </c>
      <c r="G28" s="5" t="s">
        <v>244</v>
      </c>
      <c r="H28" s="5">
        <v>100000</v>
      </c>
      <c r="I28" s="5">
        <v>6250000</v>
      </c>
      <c r="J28" s="5">
        <v>3200000</v>
      </c>
      <c r="K28" s="5">
        <v>100000</v>
      </c>
      <c r="L28" s="5">
        <v>4000000</v>
      </c>
    </row>
    <row r="29" spans="1:12" x14ac:dyDescent="0.25">
      <c r="A29" s="5">
        <f t="shared" si="0"/>
        <v>28</v>
      </c>
      <c r="B29" s="5" t="s">
        <v>27</v>
      </c>
      <c r="C29" s="5" t="s">
        <v>309</v>
      </c>
      <c r="D29" s="5" t="s">
        <v>142</v>
      </c>
      <c r="E29" s="5" t="s">
        <v>143</v>
      </c>
      <c r="F29" s="6">
        <v>42552</v>
      </c>
      <c r="G29" s="5" t="s">
        <v>245</v>
      </c>
      <c r="H29" s="5">
        <v>100000</v>
      </c>
      <c r="I29" s="5">
        <v>6150000</v>
      </c>
      <c r="J29" s="5">
        <v>12300000</v>
      </c>
      <c r="K29" s="5">
        <v>0</v>
      </c>
      <c r="L29" s="5">
        <v>0</v>
      </c>
    </row>
    <row r="30" spans="1:12" x14ac:dyDescent="0.25">
      <c r="A30" s="5">
        <f t="shared" si="0"/>
        <v>29</v>
      </c>
      <c r="B30" s="5" t="s">
        <v>28</v>
      </c>
      <c r="C30" s="5" t="s">
        <v>310</v>
      </c>
      <c r="D30" s="5" t="s">
        <v>144</v>
      </c>
      <c r="E30" s="5" t="s">
        <v>145</v>
      </c>
      <c r="F30" s="6">
        <v>43118</v>
      </c>
      <c r="G30" s="5" t="s">
        <v>227</v>
      </c>
      <c r="H30" s="5">
        <v>100000</v>
      </c>
      <c r="I30" s="5">
        <v>5250000</v>
      </c>
      <c r="J30" s="5">
        <v>0</v>
      </c>
      <c r="K30" s="5">
        <v>0</v>
      </c>
      <c r="L30" s="5">
        <v>0</v>
      </c>
    </row>
    <row r="31" spans="1:12" x14ac:dyDescent="0.25">
      <c r="A31" s="5">
        <f t="shared" si="0"/>
        <v>30</v>
      </c>
      <c r="B31" s="5" t="s">
        <v>29</v>
      </c>
      <c r="C31" s="5" t="s">
        <v>309</v>
      </c>
      <c r="D31" s="5" t="s">
        <v>137</v>
      </c>
      <c r="E31" s="5" t="s">
        <v>146</v>
      </c>
      <c r="F31" s="6">
        <v>45352</v>
      </c>
      <c r="G31" s="5" t="s">
        <v>227</v>
      </c>
      <c r="H31" s="5">
        <v>100000</v>
      </c>
      <c r="I31" s="5">
        <v>1550000</v>
      </c>
      <c r="J31" s="5">
        <v>31000000</v>
      </c>
      <c r="K31" s="5">
        <v>0</v>
      </c>
      <c r="L31" s="5">
        <v>0</v>
      </c>
    </row>
    <row r="32" spans="1:12" x14ac:dyDescent="0.25">
      <c r="A32" s="5">
        <f t="shared" si="0"/>
        <v>31</v>
      </c>
      <c r="B32" s="5" t="s">
        <v>30</v>
      </c>
      <c r="C32" s="5" t="s">
        <v>309</v>
      </c>
      <c r="D32" s="5" t="s">
        <v>147</v>
      </c>
      <c r="E32" s="5" t="s">
        <v>148</v>
      </c>
      <c r="F32" s="6">
        <v>43009</v>
      </c>
      <c r="G32" s="5" t="s">
        <v>246</v>
      </c>
      <c r="H32" s="5">
        <v>100000</v>
      </c>
      <c r="I32" s="5">
        <v>5400000</v>
      </c>
      <c r="J32" s="5">
        <v>7500000</v>
      </c>
      <c r="K32" s="5">
        <v>700000</v>
      </c>
      <c r="L32" s="5">
        <v>4000000</v>
      </c>
    </row>
    <row r="33" spans="1:12" x14ac:dyDescent="0.25">
      <c r="A33" s="5">
        <f t="shared" si="0"/>
        <v>32</v>
      </c>
      <c r="B33" s="5" t="s">
        <v>31</v>
      </c>
      <c r="C33" s="5" t="s">
        <v>309</v>
      </c>
      <c r="D33" s="5" t="s">
        <v>147</v>
      </c>
      <c r="E33" s="5" t="s">
        <v>149</v>
      </c>
      <c r="F33" s="6">
        <v>43101</v>
      </c>
      <c r="G33" s="5" t="s">
        <v>247</v>
      </c>
      <c r="H33" s="5">
        <v>100000</v>
      </c>
      <c r="I33" s="5">
        <v>5250000</v>
      </c>
      <c r="J33" s="5">
        <v>54500000</v>
      </c>
      <c r="K33" s="5">
        <v>0</v>
      </c>
      <c r="L33" s="5">
        <v>0</v>
      </c>
    </row>
    <row r="34" spans="1:12" x14ac:dyDescent="0.25">
      <c r="A34" s="5">
        <f t="shared" si="0"/>
        <v>33</v>
      </c>
      <c r="B34" s="5" t="s">
        <v>32</v>
      </c>
      <c r="C34" s="5" t="s">
        <v>309</v>
      </c>
      <c r="D34" s="5" t="s">
        <v>311</v>
      </c>
      <c r="E34" s="5" t="s">
        <v>150</v>
      </c>
      <c r="F34" s="6">
        <v>45200</v>
      </c>
      <c r="G34" s="5" t="s">
        <v>227</v>
      </c>
      <c r="H34" s="5">
        <v>100000</v>
      </c>
      <c r="I34" s="5">
        <v>1800000</v>
      </c>
      <c r="J34" s="5">
        <v>16500000</v>
      </c>
      <c r="K34" s="5">
        <v>0</v>
      </c>
      <c r="L34" s="5">
        <v>0</v>
      </c>
    </row>
    <row r="35" spans="1:12" x14ac:dyDescent="0.25">
      <c r="A35" s="5">
        <f t="shared" si="0"/>
        <v>34</v>
      </c>
      <c r="B35" s="5" t="s">
        <v>33</v>
      </c>
      <c r="C35" s="5" t="s">
        <v>309</v>
      </c>
      <c r="D35" s="5" t="s">
        <v>147</v>
      </c>
      <c r="E35" s="5" t="s">
        <v>151</v>
      </c>
      <c r="F35" s="6">
        <v>43009</v>
      </c>
      <c r="G35" s="5" t="s">
        <v>227</v>
      </c>
      <c r="H35" s="5">
        <v>100000</v>
      </c>
      <c r="I35" s="5">
        <v>5400000</v>
      </c>
      <c r="J35" s="5">
        <v>2000000</v>
      </c>
      <c r="K35" s="5">
        <v>1400000</v>
      </c>
      <c r="L35" s="5">
        <v>8333331</v>
      </c>
    </row>
    <row r="36" spans="1:12" x14ac:dyDescent="0.25">
      <c r="A36" s="5">
        <f t="shared" si="0"/>
        <v>35</v>
      </c>
      <c r="B36" s="5" t="s">
        <v>34</v>
      </c>
      <c r="C36" s="5" t="s">
        <v>309</v>
      </c>
      <c r="D36" s="5" t="s">
        <v>152</v>
      </c>
      <c r="E36" s="5" t="s">
        <v>153</v>
      </c>
      <c r="F36" s="6">
        <v>43617</v>
      </c>
      <c r="G36" s="5" t="s">
        <v>227</v>
      </c>
      <c r="H36" s="5">
        <v>100000</v>
      </c>
      <c r="I36" s="5">
        <v>4400000</v>
      </c>
      <c r="J36" s="5">
        <v>22000000</v>
      </c>
      <c r="K36" s="5">
        <v>0</v>
      </c>
      <c r="L36" s="5">
        <v>0</v>
      </c>
    </row>
    <row r="37" spans="1:12" x14ac:dyDescent="0.25">
      <c r="A37" s="5">
        <f t="shared" si="0"/>
        <v>36</v>
      </c>
      <c r="B37" s="5" t="s">
        <v>35</v>
      </c>
      <c r="C37" s="5" t="s">
        <v>310</v>
      </c>
      <c r="D37" s="5" t="s">
        <v>154</v>
      </c>
      <c r="E37" s="5" t="s">
        <v>155</v>
      </c>
      <c r="F37" s="6">
        <v>44166</v>
      </c>
      <c r="G37" s="5" t="s">
        <v>227</v>
      </c>
      <c r="H37" s="5">
        <v>100000</v>
      </c>
      <c r="I37" s="5">
        <v>3500000</v>
      </c>
      <c r="J37" s="5">
        <v>90000000</v>
      </c>
      <c r="K37" s="5">
        <v>0</v>
      </c>
      <c r="L37" s="5">
        <v>0</v>
      </c>
    </row>
    <row r="38" spans="1:12" x14ac:dyDescent="0.25">
      <c r="A38" s="5">
        <f t="shared" si="0"/>
        <v>37</v>
      </c>
      <c r="B38" s="5" t="s">
        <v>36</v>
      </c>
      <c r="C38" s="5" t="s">
        <v>309</v>
      </c>
      <c r="D38" s="5" t="s">
        <v>140</v>
      </c>
      <c r="E38" s="5" t="s">
        <v>156</v>
      </c>
      <c r="F38" s="6">
        <v>42491</v>
      </c>
      <c r="G38" s="5" t="s">
        <v>248</v>
      </c>
      <c r="H38" s="5">
        <v>100000</v>
      </c>
      <c r="I38" s="5">
        <v>6250000</v>
      </c>
      <c r="J38" s="5">
        <v>0</v>
      </c>
      <c r="K38" s="5">
        <v>0</v>
      </c>
      <c r="L38" s="5">
        <v>0</v>
      </c>
    </row>
    <row r="39" spans="1:12" x14ac:dyDescent="0.25">
      <c r="A39" s="5">
        <f t="shared" si="0"/>
        <v>38</v>
      </c>
      <c r="B39" s="5" t="s">
        <v>37</v>
      </c>
      <c r="C39" s="5" t="s">
        <v>309</v>
      </c>
      <c r="D39" s="5" t="s">
        <v>137</v>
      </c>
      <c r="E39" s="5" t="s">
        <v>157</v>
      </c>
      <c r="F39" s="6">
        <v>42491</v>
      </c>
      <c r="G39" s="5" t="s">
        <v>249</v>
      </c>
      <c r="H39" s="5">
        <v>100000</v>
      </c>
      <c r="I39" s="5">
        <v>6250000</v>
      </c>
      <c r="J39" s="5">
        <v>6250000</v>
      </c>
      <c r="K39" s="5">
        <v>0</v>
      </c>
      <c r="L39" s="5">
        <v>0</v>
      </c>
    </row>
    <row r="40" spans="1:12" x14ac:dyDescent="0.25">
      <c r="A40" s="5">
        <f t="shared" si="0"/>
        <v>39</v>
      </c>
      <c r="B40" s="5" t="s">
        <v>38</v>
      </c>
      <c r="C40" s="5" t="s">
        <v>309</v>
      </c>
      <c r="D40" s="5" t="s">
        <v>116</v>
      </c>
      <c r="E40" s="5" t="s">
        <v>158</v>
      </c>
      <c r="F40" s="6">
        <v>42491</v>
      </c>
      <c r="G40" s="5" t="s">
        <v>250</v>
      </c>
      <c r="H40" s="5">
        <v>100000</v>
      </c>
      <c r="I40" s="5">
        <v>6250000</v>
      </c>
      <c r="J40" s="5">
        <v>155850000</v>
      </c>
      <c r="K40" s="5">
        <v>0</v>
      </c>
      <c r="L40" s="5">
        <v>0</v>
      </c>
    </row>
    <row r="41" spans="1:12" x14ac:dyDescent="0.25">
      <c r="A41" s="5">
        <f t="shared" si="0"/>
        <v>40</v>
      </c>
      <c r="B41" s="5" t="s">
        <v>39</v>
      </c>
      <c r="C41" s="5" t="s">
        <v>309</v>
      </c>
      <c r="D41" s="5" t="s">
        <v>159</v>
      </c>
      <c r="E41" s="5" t="s">
        <v>160</v>
      </c>
      <c r="F41" s="6">
        <v>42491</v>
      </c>
      <c r="G41" s="5" t="s">
        <v>251</v>
      </c>
      <c r="H41" s="5">
        <v>100000</v>
      </c>
      <c r="I41" s="5">
        <v>6250000</v>
      </c>
      <c r="J41" s="5">
        <v>18750000</v>
      </c>
      <c r="K41" s="5">
        <v>0</v>
      </c>
      <c r="L41" s="5">
        <v>0</v>
      </c>
    </row>
    <row r="42" spans="1:12" x14ac:dyDescent="0.25">
      <c r="A42" s="5">
        <f t="shared" si="0"/>
        <v>41</v>
      </c>
      <c r="B42" s="5" t="s">
        <v>40</v>
      </c>
      <c r="C42" s="5" t="s">
        <v>309</v>
      </c>
      <c r="D42" s="5" t="s">
        <v>161</v>
      </c>
      <c r="E42" s="5" t="s">
        <v>162</v>
      </c>
      <c r="F42" s="6">
        <v>42491</v>
      </c>
      <c r="G42" s="5" t="s">
        <v>252</v>
      </c>
      <c r="H42" s="5">
        <v>100000</v>
      </c>
      <c r="I42" s="5">
        <v>6200000</v>
      </c>
      <c r="J42" s="5">
        <v>8001000</v>
      </c>
      <c r="K42" s="5">
        <v>0</v>
      </c>
      <c r="L42" s="5">
        <v>0</v>
      </c>
    </row>
    <row r="43" spans="1:12" x14ac:dyDescent="0.25">
      <c r="A43" s="5">
        <f t="shared" si="0"/>
        <v>42</v>
      </c>
      <c r="B43" s="5" t="s">
        <v>41</v>
      </c>
      <c r="C43" s="5" t="s">
        <v>309</v>
      </c>
      <c r="D43" s="5" t="s">
        <v>137</v>
      </c>
      <c r="E43" s="5" t="s">
        <v>163</v>
      </c>
      <c r="F43" s="6">
        <v>42491</v>
      </c>
      <c r="G43" s="5" t="s">
        <v>253</v>
      </c>
      <c r="H43" s="5">
        <v>100000</v>
      </c>
      <c r="I43" s="5">
        <v>6250000</v>
      </c>
      <c r="J43" s="5">
        <v>0</v>
      </c>
      <c r="K43" s="5">
        <v>0</v>
      </c>
      <c r="L43" s="5">
        <v>0</v>
      </c>
    </row>
    <row r="44" spans="1:12" x14ac:dyDescent="0.25">
      <c r="A44" s="5">
        <f t="shared" si="0"/>
        <v>43</v>
      </c>
      <c r="B44" s="5" t="s">
        <v>42</v>
      </c>
      <c r="C44" s="5" t="s">
        <v>309</v>
      </c>
      <c r="D44" s="5" t="s">
        <v>130</v>
      </c>
      <c r="E44" s="5" t="s">
        <v>164</v>
      </c>
      <c r="F44" s="6">
        <v>42491</v>
      </c>
      <c r="G44" s="5" t="s">
        <v>254</v>
      </c>
      <c r="H44" s="5">
        <v>100000</v>
      </c>
      <c r="I44" s="5">
        <v>6250000</v>
      </c>
      <c r="J44" s="5">
        <v>500000</v>
      </c>
      <c r="K44" s="5">
        <v>1800000</v>
      </c>
      <c r="L44" s="5">
        <v>18666676</v>
      </c>
    </row>
    <row r="45" spans="1:12" x14ac:dyDescent="0.25">
      <c r="A45" s="5">
        <f t="shared" si="0"/>
        <v>44</v>
      </c>
      <c r="B45" s="5" t="s">
        <v>43</v>
      </c>
      <c r="C45" s="5" t="s">
        <v>310</v>
      </c>
      <c r="D45" s="5" t="s">
        <v>126</v>
      </c>
      <c r="E45" s="5" t="s">
        <v>165</v>
      </c>
      <c r="F45" s="6">
        <v>42491</v>
      </c>
      <c r="G45" s="5" t="s">
        <v>255</v>
      </c>
      <c r="H45" s="5">
        <v>100000</v>
      </c>
      <c r="I45" s="5">
        <v>6250000</v>
      </c>
      <c r="J45" s="5">
        <v>2250000</v>
      </c>
      <c r="K45" s="5">
        <v>0</v>
      </c>
      <c r="L45" s="5">
        <v>0</v>
      </c>
    </row>
    <row r="46" spans="1:12" x14ac:dyDescent="0.25">
      <c r="A46" s="5">
        <f t="shared" si="0"/>
        <v>45</v>
      </c>
      <c r="B46" s="5" t="s">
        <v>44</v>
      </c>
      <c r="C46" s="5" t="s">
        <v>310</v>
      </c>
      <c r="D46" s="5" t="s">
        <v>166</v>
      </c>
      <c r="E46" s="5" t="s">
        <v>167</v>
      </c>
      <c r="F46" s="6">
        <v>42491</v>
      </c>
      <c r="G46" s="5" t="s">
        <v>256</v>
      </c>
      <c r="H46" s="5">
        <v>100000</v>
      </c>
      <c r="I46" s="5">
        <v>6250000</v>
      </c>
      <c r="J46" s="5">
        <v>1200000</v>
      </c>
      <c r="K46" s="5">
        <v>0</v>
      </c>
      <c r="L46" s="5">
        <v>0</v>
      </c>
    </row>
    <row r="47" spans="1:12" x14ac:dyDescent="0.25">
      <c r="A47" s="5">
        <f t="shared" si="0"/>
        <v>46</v>
      </c>
      <c r="B47" s="5" t="s">
        <v>45</v>
      </c>
      <c r="C47" s="5" t="s">
        <v>309</v>
      </c>
      <c r="D47" s="5" t="s">
        <v>102</v>
      </c>
      <c r="E47" s="5" t="s">
        <v>168</v>
      </c>
      <c r="F47" s="6">
        <v>42491</v>
      </c>
      <c r="G47" s="5" t="s">
        <v>257</v>
      </c>
      <c r="H47" s="5">
        <v>100000</v>
      </c>
      <c r="I47" s="5">
        <v>6250000</v>
      </c>
      <c r="J47" s="5">
        <v>3000000</v>
      </c>
      <c r="K47" s="5">
        <v>0</v>
      </c>
      <c r="L47" s="5">
        <v>0</v>
      </c>
    </row>
    <row r="48" spans="1:12" x14ac:dyDescent="0.25">
      <c r="A48" s="5">
        <f t="shared" si="0"/>
        <v>47</v>
      </c>
      <c r="B48" s="5" t="s">
        <v>46</v>
      </c>
      <c r="C48" s="5" t="s">
        <v>309</v>
      </c>
      <c r="D48" s="5" t="s">
        <v>312</v>
      </c>
      <c r="E48" s="5" t="s">
        <v>169</v>
      </c>
      <c r="F48" s="6">
        <v>44682</v>
      </c>
      <c r="G48" s="5" t="s">
        <v>227</v>
      </c>
      <c r="H48" s="5">
        <v>100000</v>
      </c>
      <c r="I48" s="5">
        <v>2650000</v>
      </c>
      <c r="J48" s="5">
        <v>5500000</v>
      </c>
      <c r="K48" s="5">
        <v>0</v>
      </c>
      <c r="L48" s="5">
        <v>0</v>
      </c>
    </row>
    <row r="49" spans="1:12" x14ac:dyDescent="0.25">
      <c r="A49" s="5">
        <f t="shared" si="0"/>
        <v>48</v>
      </c>
      <c r="B49" s="5" t="s">
        <v>47</v>
      </c>
      <c r="C49" s="5" t="s">
        <v>309</v>
      </c>
      <c r="D49" s="5" t="s">
        <v>159</v>
      </c>
      <c r="E49" s="5" t="s">
        <v>170</v>
      </c>
      <c r="F49" s="6">
        <v>44409</v>
      </c>
      <c r="G49" s="5" t="s">
        <v>227</v>
      </c>
      <c r="H49" s="5">
        <v>100000</v>
      </c>
      <c r="I49" s="5">
        <v>3100000</v>
      </c>
      <c r="J49" s="5">
        <v>0</v>
      </c>
      <c r="K49" s="5">
        <v>0</v>
      </c>
      <c r="L49" s="5">
        <v>0</v>
      </c>
    </row>
    <row r="50" spans="1:12" x14ac:dyDescent="0.25">
      <c r="A50" s="5">
        <f t="shared" si="0"/>
        <v>49</v>
      </c>
      <c r="B50" s="5" t="s">
        <v>48</v>
      </c>
      <c r="C50" s="5" t="s">
        <v>309</v>
      </c>
      <c r="D50" s="5" t="s">
        <v>171</v>
      </c>
      <c r="E50" s="5" t="s">
        <v>172</v>
      </c>
      <c r="F50" s="6">
        <v>44958</v>
      </c>
      <c r="G50" s="5" t="s">
        <v>227</v>
      </c>
      <c r="H50" s="5">
        <v>100000</v>
      </c>
      <c r="I50" s="5">
        <v>2200000</v>
      </c>
      <c r="J50" s="5">
        <v>1000000</v>
      </c>
      <c r="K50" s="5">
        <v>940000</v>
      </c>
      <c r="L50" s="5">
        <v>3600000</v>
      </c>
    </row>
    <row r="51" spans="1:12" x14ac:dyDescent="0.25">
      <c r="A51" s="5">
        <f t="shared" si="0"/>
        <v>50</v>
      </c>
      <c r="B51" s="5" t="s">
        <v>49</v>
      </c>
      <c r="C51" s="5" t="s">
        <v>309</v>
      </c>
      <c r="D51" s="5" t="s">
        <v>124</v>
      </c>
      <c r="E51" s="5" t="s">
        <v>173</v>
      </c>
      <c r="F51" s="6">
        <v>42491</v>
      </c>
      <c r="G51" s="5" t="s">
        <v>258</v>
      </c>
      <c r="H51" s="5">
        <v>100000</v>
      </c>
      <c r="I51" s="5">
        <v>6250000</v>
      </c>
      <c r="J51" s="5">
        <v>8600000</v>
      </c>
      <c r="K51" s="5">
        <v>0</v>
      </c>
      <c r="L51" s="5">
        <v>0</v>
      </c>
    </row>
    <row r="52" spans="1:12" x14ac:dyDescent="0.25">
      <c r="A52" s="5">
        <f t="shared" si="0"/>
        <v>51</v>
      </c>
      <c r="B52" s="5" t="s">
        <v>50</v>
      </c>
      <c r="C52" s="5" t="s">
        <v>309</v>
      </c>
      <c r="D52" s="5" t="s">
        <v>174</v>
      </c>
      <c r="E52" s="5" t="s">
        <v>175</v>
      </c>
      <c r="F52" s="6">
        <v>42491</v>
      </c>
      <c r="G52" s="5" t="s">
        <v>259</v>
      </c>
      <c r="H52" s="5">
        <v>100000</v>
      </c>
      <c r="I52" s="5">
        <v>6250000</v>
      </c>
      <c r="J52" s="5">
        <v>16000000</v>
      </c>
      <c r="K52" s="5">
        <v>0</v>
      </c>
      <c r="L52" s="5">
        <v>0</v>
      </c>
    </row>
    <row r="53" spans="1:12" x14ac:dyDescent="0.25">
      <c r="A53" s="5">
        <f t="shared" si="0"/>
        <v>52</v>
      </c>
      <c r="B53" s="5" t="s">
        <v>51</v>
      </c>
      <c r="C53" s="5" t="s">
        <v>309</v>
      </c>
      <c r="D53" s="5" t="s">
        <v>102</v>
      </c>
      <c r="E53" s="5" t="s">
        <v>176</v>
      </c>
      <c r="F53" s="6">
        <v>42491</v>
      </c>
      <c r="G53" s="5" t="s">
        <v>260</v>
      </c>
      <c r="H53" s="5">
        <v>100000</v>
      </c>
      <c r="I53" s="5">
        <v>6250000</v>
      </c>
      <c r="J53" s="5">
        <v>3125000</v>
      </c>
      <c r="K53" s="5">
        <v>1600000</v>
      </c>
      <c r="L53" s="5">
        <v>4000000</v>
      </c>
    </row>
    <row r="54" spans="1:12" x14ac:dyDescent="0.25">
      <c r="A54" s="5">
        <f t="shared" si="0"/>
        <v>53</v>
      </c>
      <c r="B54" s="5" t="s">
        <v>52</v>
      </c>
      <c r="C54" s="5" t="s">
        <v>309</v>
      </c>
      <c r="D54" s="5" t="s">
        <v>126</v>
      </c>
      <c r="E54" s="5" t="s">
        <v>177</v>
      </c>
      <c r="F54" s="6">
        <v>42826</v>
      </c>
      <c r="G54" s="5" t="s">
        <v>261</v>
      </c>
      <c r="H54" s="5">
        <v>100000</v>
      </c>
      <c r="I54" s="5">
        <v>5700000</v>
      </c>
      <c r="J54" s="5">
        <v>33350000</v>
      </c>
      <c r="K54" s="5">
        <v>800000</v>
      </c>
      <c r="L54" s="5">
        <v>2000000</v>
      </c>
    </row>
    <row r="55" spans="1:12" x14ac:dyDescent="0.25">
      <c r="A55" s="5">
        <f t="shared" si="0"/>
        <v>54</v>
      </c>
      <c r="B55" s="5" t="s">
        <v>53</v>
      </c>
      <c r="C55" s="5" t="s">
        <v>309</v>
      </c>
      <c r="D55" s="5" t="s">
        <v>128</v>
      </c>
      <c r="E55" s="5" t="s">
        <v>178</v>
      </c>
      <c r="F55" s="6">
        <v>42491</v>
      </c>
      <c r="G55" s="5" t="s">
        <v>262</v>
      </c>
      <c r="H55" s="5">
        <v>100000</v>
      </c>
      <c r="I55" s="5">
        <v>6250000</v>
      </c>
      <c r="J55" s="5">
        <v>29050000</v>
      </c>
      <c r="K55" s="5">
        <v>210000</v>
      </c>
      <c r="L55" s="5">
        <v>4900000</v>
      </c>
    </row>
    <row r="56" spans="1:12" x14ac:dyDescent="0.25">
      <c r="A56" s="5">
        <f t="shared" si="0"/>
        <v>55</v>
      </c>
      <c r="B56" s="5" t="s">
        <v>54</v>
      </c>
      <c r="C56" s="5" t="s">
        <v>309</v>
      </c>
      <c r="D56" s="5" t="s">
        <v>147</v>
      </c>
      <c r="E56" s="5" t="s">
        <v>179</v>
      </c>
      <c r="F56" s="6">
        <v>44713</v>
      </c>
      <c r="G56" s="5" t="s">
        <v>227</v>
      </c>
      <c r="H56" s="5">
        <v>100000</v>
      </c>
      <c r="I56" s="5">
        <v>2600000</v>
      </c>
      <c r="J56" s="5">
        <v>1250000</v>
      </c>
      <c r="K56" s="5">
        <v>0</v>
      </c>
      <c r="L56" s="5">
        <v>0</v>
      </c>
    </row>
    <row r="57" spans="1:12" x14ac:dyDescent="0.25">
      <c r="A57" s="5">
        <f t="shared" si="0"/>
        <v>56</v>
      </c>
      <c r="B57" s="5" t="s">
        <v>55</v>
      </c>
      <c r="C57" s="5" t="s">
        <v>309</v>
      </c>
      <c r="D57" s="5" t="s">
        <v>180</v>
      </c>
      <c r="E57" s="5" t="s">
        <v>181</v>
      </c>
      <c r="F57" s="6">
        <v>42491</v>
      </c>
      <c r="G57" s="5" t="s">
        <v>263</v>
      </c>
      <c r="H57" s="5">
        <v>100000</v>
      </c>
      <c r="I57" s="5">
        <v>6250000</v>
      </c>
      <c r="J57" s="5">
        <v>12900000</v>
      </c>
      <c r="K57" s="5">
        <v>0</v>
      </c>
      <c r="L57" s="5">
        <v>0</v>
      </c>
    </row>
    <row r="58" spans="1:12" x14ac:dyDescent="0.25">
      <c r="A58" s="5">
        <f t="shared" si="0"/>
        <v>57</v>
      </c>
      <c r="B58" s="5" t="s">
        <v>56</v>
      </c>
      <c r="C58" s="5" t="s">
        <v>309</v>
      </c>
      <c r="D58" s="5" t="s">
        <v>180</v>
      </c>
      <c r="E58" s="5" t="s">
        <v>182</v>
      </c>
      <c r="F58" s="6">
        <v>42522</v>
      </c>
      <c r="G58" s="5" t="s">
        <v>264</v>
      </c>
      <c r="H58" s="5">
        <v>100000</v>
      </c>
      <c r="I58" s="5">
        <v>5850000</v>
      </c>
      <c r="J58" s="5">
        <v>3800000</v>
      </c>
      <c r="K58" s="5">
        <v>0</v>
      </c>
      <c r="L58" s="5">
        <v>0</v>
      </c>
    </row>
    <row r="59" spans="1:12" x14ac:dyDescent="0.25">
      <c r="A59" s="5">
        <f t="shared" si="0"/>
        <v>58</v>
      </c>
      <c r="B59" s="5" t="s">
        <v>57</v>
      </c>
      <c r="C59" s="5" t="s">
        <v>309</v>
      </c>
      <c r="D59" s="5" t="s">
        <v>102</v>
      </c>
      <c r="E59" s="5" t="s">
        <v>183</v>
      </c>
      <c r="F59" s="6">
        <v>45566</v>
      </c>
      <c r="G59" s="5" t="s">
        <v>227</v>
      </c>
      <c r="H59" s="5">
        <v>100000</v>
      </c>
      <c r="I59" s="5">
        <v>1200000</v>
      </c>
      <c r="J59" s="5">
        <v>1250000</v>
      </c>
      <c r="K59" s="5">
        <v>0</v>
      </c>
      <c r="L59" s="5">
        <v>0</v>
      </c>
    </row>
    <row r="60" spans="1:12" x14ac:dyDescent="0.25">
      <c r="A60" s="5">
        <f t="shared" si="0"/>
        <v>59</v>
      </c>
      <c r="B60" s="5" t="s">
        <v>58</v>
      </c>
      <c r="C60" s="5" t="s">
        <v>309</v>
      </c>
      <c r="D60" s="5" t="s">
        <v>126</v>
      </c>
      <c r="E60" s="5" t="s">
        <v>184</v>
      </c>
      <c r="F60" s="6">
        <v>42491</v>
      </c>
      <c r="G60" s="5" t="s">
        <v>227</v>
      </c>
      <c r="H60" s="5">
        <v>100000</v>
      </c>
      <c r="I60" s="5">
        <v>6250000</v>
      </c>
      <c r="J60" s="5">
        <v>900000</v>
      </c>
      <c r="K60" s="5">
        <v>1350000</v>
      </c>
      <c r="L60" s="5">
        <v>0</v>
      </c>
    </row>
    <row r="61" spans="1:12" x14ac:dyDescent="0.25">
      <c r="A61" s="5">
        <f t="shared" si="0"/>
        <v>60</v>
      </c>
      <c r="B61" s="5" t="s">
        <v>59</v>
      </c>
      <c r="C61" s="5" t="s">
        <v>309</v>
      </c>
      <c r="D61" s="5" t="s">
        <v>166</v>
      </c>
      <c r="E61" s="5" t="s">
        <v>185</v>
      </c>
      <c r="F61" s="6">
        <v>42491</v>
      </c>
      <c r="G61" s="5" t="s">
        <v>265</v>
      </c>
      <c r="H61" s="5">
        <v>100000</v>
      </c>
      <c r="I61" s="5">
        <v>6250000</v>
      </c>
      <c r="J61" s="5">
        <v>0</v>
      </c>
      <c r="K61" s="5">
        <v>0</v>
      </c>
      <c r="L61" s="5">
        <v>0</v>
      </c>
    </row>
    <row r="62" spans="1:12" x14ac:dyDescent="0.25">
      <c r="A62" s="5">
        <f t="shared" si="0"/>
        <v>61</v>
      </c>
      <c r="B62" s="5" t="s">
        <v>60</v>
      </c>
      <c r="C62" s="5" t="s">
        <v>309</v>
      </c>
      <c r="D62" s="5" t="s">
        <v>159</v>
      </c>
      <c r="E62" s="5" t="s">
        <v>186</v>
      </c>
      <c r="F62" s="6">
        <v>42491</v>
      </c>
      <c r="G62" s="5" t="s">
        <v>266</v>
      </c>
      <c r="H62" s="5">
        <v>100000</v>
      </c>
      <c r="I62" s="5">
        <v>6250000</v>
      </c>
      <c r="J62" s="5">
        <v>1000000</v>
      </c>
      <c r="K62" s="5">
        <v>500000</v>
      </c>
      <c r="L62" s="5">
        <v>8000000</v>
      </c>
    </row>
    <row r="63" spans="1:12" x14ac:dyDescent="0.25">
      <c r="A63" s="5">
        <f t="shared" si="0"/>
        <v>62</v>
      </c>
      <c r="B63" s="5" t="s">
        <v>61</v>
      </c>
      <c r="C63" s="5" t="s">
        <v>309</v>
      </c>
      <c r="D63" s="5" t="s">
        <v>187</v>
      </c>
      <c r="E63" s="5" t="s">
        <v>188</v>
      </c>
      <c r="F63" s="6">
        <v>44256</v>
      </c>
      <c r="G63" s="5" t="s">
        <v>227</v>
      </c>
      <c r="H63" s="5">
        <v>100000</v>
      </c>
      <c r="I63" s="5">
        <v>3350000</v>
      </c>
      <c r="J63" s="5">
        <v>11800000</v>
      </c>
      <c r="K63" s="5">
        <v>400000</v>
      </c>
      <c r="L63" s="5">
        <v>6000000</v>
      </c>
    </row>
    <row r="64" spans="1:12" x14ac:dyDescent="0.25">
      <c r="A64" s="5">
        <f t="shared" si="0"/>
        <v>63</v>
      </c>
      <c r="B64" s="5" t="s">
        <v>62</v>
      </c>
      <c r="C64" s="5" t="s">
        <v>309</v>
      </c>
      <c r="D64" s="5" t="s">
        <v>116</v>
      </c>
      <c r="E64" s="5" t="s">
        <v>189</v>
      </c>
      <c r="F64" s="6">
        <v>42491</v>
      </c>
      <c r="G64" s="5" t="s">
        <v>267</v>
      </c>
      <c r="H64" s="5">
        <v>100000</v>
      </c>
      <c r="I64" s="5">
        <v>6250000</v>
      </c>
      <c r="J64" s="5">
        <v>1340000</v>
      </c>
      <c r="K64" s="5">
        <v>0</v>
      </c>
      <c r="L64" s="5">
        <v>0</v>
      </c>
    </row>
    <row r="65" spans="1:12" x14ac:dyDescent="0.25">
      <c r="A65" s="5">
        <f t="shared" si="0"/>
        <v>64</v>
      </c>
      <c r="B65" s="5" t="s">
        <v>63</v>
      </c>
      <c r="C65" s="5" t="s">
        <v>309</v>
      </c>
      <c r="D65" s="5" t="s">
        <v>190</v>
      </c>
      <c r="E65" s="5" t="s">
        <v>191</v>
      </c>
      <c r="F65" s="6">
        <v>42491</v>
      </c>
      <c r="G65" s="5" t="s">
        <v>268</v>
      </c>
      <c r="H65" s="5">
        <v>100000</v>
      </c>
      <c r="I65" s="5">
        <v>6250000</v>
      </c>
      <c r="J65" s="5">
        <v>1650000</v>
      </c>
      <c r="K65" s="5">
        <v>0</v>
      </c>
      <c r="L65" s="5">
        <v>0</v>
      </c>
    </row>
    <row r="66" spans="1:12" x14ac:dyDescent="0.25">
      <c r="A66" s="5">
        <f t="shared" si="0"/>
        <v>65</v>
      </c>
      <c r="B66" s="5" t="s">
        <v>64</v>
      </c>
      <c r="C66" s="5" t="s">
        <v>309</v>
      </c>
      <c r="D66" s="5" t="s">
        <v>159</v>
      </c>
      <c r="E66" s="5" t="s">
        <v>192</v>
      </c>
      <c r="F66" s="6">
        <v>42491</v>
      </c>
      <c r="G66" s="5" t="s">
        <v>269</v>
      </c>
      <c r="H66" s="5">
        <v>100000</v>
      </c>
      <c r="I66" s="5">
        <v>6250000</v>
      </c>
      <c r="J66" s="5">
        <v>3900000</v>
      </c>
      <c r="K66" s="5">
        <v>0</v>
      </c>
      <c r="L66" s="5">
        <v>0</v>
      </c>
    </row>
    <row r="67" spans="1:12" x14ac:dyDescent="0.25">
      <c r="A67" s="5">
        <f t="shared" si="0"/>
        <v>66</v>
      </c>
      <c r="B67" s="5" t="s">
        <v>65</v>
      </c>
      <c r="C67" s="5" t="s">
        <v>309</v>
      </c>
      <c r="D67" s="5" t="s">
        <v>128</v>
      </c>
      <c r="E67" s="5" t="s">
        <v>193</v>
      </c>
      <c r="F67" s="6">
        <v>42491</v>
      </c>
      <c r="G67" s="5" t="s">
        <v>270</v>
      </c>
      <c r="H67" s="5">
        <v>100000</v>
      </c>
      <c r="I67" s="5">
        <v>6250000</v>
      </c>
      <c r="J67" s="5">
        <v>12250000</v>
      </c>
      <c r="K67" s="5">
        <v>0</v>
      </c>
      <c r="L67" s="5">
        <v>0</v>
      </c>
    </row>
    <row r="68" spans="1:12" x14ac:dyDescent="0.25">
      <c r="A68" s="5">
        <f t="shared" ref="A68:A97" si="1">+A67+1</f>
        <v>67</v>
      </c>
      <c r="B68" s="5" t="s">
        <v>66</v>
      </c>
      <c r="C68" s="5" t="s">
        <v>309</v>
      </c>
      <c r="D68" s="5" t="s">
        <v>166</v>
      </c>
      <c r="E68" s="5" t="s">
        <v>194</v>
      </c>
      <c r="F68" s="6">
        <v>42491</v>
      </c>
      <c r="G68" s="5" t="s">
        <v>271</v>
      </c>
      <c r="H68" s="5">
        <v>100000</v>
      </c>
      <c r="I68" s="5">
        <v>6250000</v>
      </c>
      <c r="J68" s="5">
        <v>4500000</v>
      </c>
      <c r="K68" s="5">
        <v>0</v>
      </c>
      <c r="L68" s="5">
        <v>0</v>
      </c>
    </row>
    <row r="69" spans="1:12" x14ac:dyDescent="0.25">
      <c r="A69" s="5">
        <f t="shared" si="1"/>
        <v>68</v>
      </c>
      <c r="B69" s="5" t="s">
        <v>67</v>
      </c>
      <c r="C69" s="5" t="s">
        <v>310</v>
      </c>
      <c r="D69" s="5" t="s">
        <v>128</v>
      </c>
      <c r="E69" s="5" t="s">
        <v>195</v>
      </c>
      <c r="F69" s="6">
        <v>42491</v>
      </c>
      <c r="G69" s="5" t="s">
        <v>272</v>
      </c>
      <c r="H69" s="5">
        <v>100000</v>
      </c>
      <c r="I69" s="5">
        <v>6200000</v>
      </c>
      <c r="J69" s="5">
        <v>700000</v>
      </c>
      <c r="K69" s="5">
        <v>0</v>
      </c>
      <c r="L69" s="5">
        <v>0</v>
      </c>
    </row>
    <row r="70" spans="1:12" x14ac:dyDescent="0.25">
      <c r="A70" s="5">
        <f t="shared" si="1"/>
        <v>69</v>
      </c>
      <c r="B70" s="5" t="s">
        <v>68</v>
      </c>
      <c r="C70" s="5" t="s">
        <v>310</v>
      </c>
      <c r="D70" s="5" t="s">
        <v>126</v>
      </c>
      <c r="E70" s="5" t="s">
        <v>196</v>
      </c>
      <c r="F70" s="6">
        <v>42491</v>
      </c>
      <c r="G70" s="5" t="s">
        <v>273</v>
      </c>
      <c r="H70" s="5">
        <v>100000</v>
      </c>
      <c r="I70" s="5">
        <v>6250000</v>
      </c>
      <c r="J70" s="5">
        <v>1550000</v>
      </c>
      <c r="K70" s="5">
        <v>0</v>
      </c>
      <c r="L70" s="5">
        <v>0</v>
      </c>
    </row>
    <row r="71" spans="1:12" x14ac:dyDescent="0.25">
      <c r="A71" s="5">
        <f t="shared" si="1"/>
        <v>70</v>
      </c>
      <c r="B71" s="5" t="s">
        <v>69</v>
      </c>
      <c r="C71" s="5" t="s">
        <v>309</v>
      </c>
      <c r="D71" s="5" t="s">
        <v>126</v>
      </c>
      <c r="E71" s="5" t="s">
        <v>197</v>
      </c>
      <c r="F71" s="6">
        <v>42491</v>
      </c>
      <c r="G71" s="5" t="s">
        <v>274</v>
      </c>
      <c r="H71" s="5">
        <v>100000</v>
      </c>
      <c r="I71" s="5">
        <v>6250000</v>
      </c>
      <c r="J71" s="5">
        <v>36100000</v>
      </c>
      <c r="K71" s="5">
        <v>550000</v>
      </c>
      <c r="L71" s="5">
        <v>4500000</v>
      </c>
    </row>
    <row r="72" spans="1:12" x14ac:dyDescent="0.25">
      <c r="A72" s="5">
        <f t="shared" si="1"/>
        <v>71</v>
      </c>
      <c r="B72" s="5" t="s">
        <v>70</v>
      </c>
      <c r="C72" s="5" t="s">
        <v>309</v>
      </c>
      <c r="D72" s="5" t="s">
        <v>198</v>
      </c>
      <c r="E72" s="5" t="s">
        <v>199</v>
      </c>
      <c r="F72" s="6">
        <v>42522</v>
      </c>
      <c r="G72" s="5" t="s">
        <v>275</v>
      </c>
      <c r="H72" s="5">
        <v>100000</v>
      </c>
      <c r="I72" s="5">
        <v>6200000</v>
      </c>
      <c r="J72" s="5">
        <v>1100000</v>
      </c>
      <c r="K72" s="5">
        <v>1050000</v>
      </c>
      <c r="L72" s="5">
        <v>13500000</v>
      </c>
    </row>
    <row r="73" spans="1:12" x14ac:dyDescent="0.25">
      <c r="A73" s="5">
        <f t="shared" si="1"/>
        <v>72</v>
      </c>
      <c r="B73" s="5" t="s">
        <v>71</v>
      </c>
      <c r="C73" s="5" t="s">
        <v>309</v>
      </c>
      <c r="D73" s="5" t="s">
        <v>102</v>
      </c>
      <c r="E73" s="5" t="s">
        <v>200</v>
      </c>
      <c r="F73" s="6">
        <v>45627</v>
      </c>
      <c r="G73" s="5" t="s">
        <v>227</v>
      </c>
      <c r="H73" s="5">
        <v>100000</v>
      </c>
      <c r="I73" s="5">
        <v>1100000</v>
      </c>
      <c r="J73" s="5">
        <v>7700000</v>
      </c>
      <c r="K73" s="5">
        <v>0</v>
      </c>
      <c r="L73" s="5">
        <v>0</v>
      </c>
    </row>
    <row r="74" spans="1:12" x14ac:dyDescent="0.25">
      <c r="A74" s="5">
        <f t="shared" si="1"/>
        <v>73</v>
      </c>
      <c r="B74" s="5" t="s">
        <v>72</v>
      </c>
      <c r="C74" s="5" t="s">
        <v>309</v>
      </c>
      <c r="D74" s="5" t="s">
        <v>166</v>
      </c>
      <c r="E74" s="5" t="s">
        <v>201</v>
      </c>
      <c r="F74" s="6">
        <v>42491</v>
      </c>
      <c r="G74" s="5" t="s">
        <v>276</v>
      </c>
      <c r="H74" s="5">
        <v>100000</v>
      </c>
      <c r="I74" s="5">
        <v>6250000</v>
      </c>
      <c r="J74" s="5">
        <v>200000</v>
      </c>
      <c r="K74" s="5">
        <v>400000</v>
      </c>
      <c r="L74" s="5">
        <v>0</v>
      </c>
    </row>
    <row r="75" spans="1:12" x14ac:dyDescent="0.25">
      <c r="A75" s="5">
        <f t="shared" si="1"/>
        <v>74</v>
      </c>
      <c r="B75" s="5" t="s">
        <v>73</v>
      </c>
      <c r="C75" s="5" t="s">
        <v>309</v>
      </c>
      <c r="D75" s="5" t="s">
        <v>166</v>
      </c>
      <c r="E75" s="5" t="s">
        <v>202</v>
      </c>
      <c r="F75" s="6">
        <v>42491</v>
      </c>
      <c r="G75" s="5" t="s">
        <v>277</v>
      </c>
      <c r="H75" s="5">
        <v>100000</v>
      </c>
      <c r="I75" s="5">
        <v>6250000</v>
      </c>
      <c r="J75" s="5">
        <v>5600000</v>
      </c>
      <c r="K75" s="5">
        <v>600000</v>
      </c>
      <c r="L75" s="5">
        <v>9000000</v>
      </c>
    </row>
    <row r="76" spans="1:12" x14ac:dyDescent="0.25">
      <c r="A76" s="5">
        <f t="shared" si="1"/>
        <v>75</v>
      </c>
      <c r="B76" s="5" t="s">
        <v>74</v>
      </c>
      <c r="C76" s="5" t="s">
        <v>310</v>
      </c>
      <c r="D76" s="5" t="s">
        <v>190</v>
      </c>
      <c r="E76" s="5" t="s">
        <v>203</v>
      </c>
      <c r="F76" s="6">
        <v>42491</v>
      </c>
      <c r="G76" s="5" t="s">
        <v>278</v>
      </c>
      <c r="H76" s="5">
        <v>100000</v>
      </c>
      <c r="I76" s="5">
        <v>6250000</v>
      </c>
      <c r="J76" s="5">
        <v>3250000</v>
      </c>
      <c r="K76" s="5">
        <v>1200000</v>
      </c>
      <c r="L76" s="5">
        <v>12000000</v>
      </c>
    </row>
    <row r="77" spans="1:12" x14ac:dyDescent="0.25">
      <c r="A77" s="5">
        <f t="shared" si="1"/>
        <v>76</v>
      </c>
      <c r="B77" s="5" t="s">
        <v>75</v>
      </c>
      <c r="C77" s="5" t="s">
        <v>309</v>
      </c>
      <c r="D77" s="5" t="s">
        <v>102</v>
      </c>
      <c r="E77" s="5" t="s">
        <v>204</v>
      </c>
      <c r="F77" s="6">
        <v>44531</v>
      </c>
      <c r="G77" s="5" t="s">
        <v>227</v>
      </c>
      <c r="H77" s="5">
        <v>100000</v>
      </c>
      <c r="I77" s="5">
        <v>2900000</v>
      </c>
      <c r="J77" s="5">
        <v>7650000</v>
      </c>
      <c r="K77" s="5">
        <v>0</v>
      </c>
      <c r="L77" s="5">
        <v>0</v>
      </c>
    </row>
    <row r="78" spans="1:12" x14ac:dyDescent="0.25">
      <c r="A78" s="5">
        <f t="shared" si="1"/>
        <v>77</v>
      </c>
      <c r="B78" s="5" t="s">
        <v>76</v>
      </c>
      <c r="C78" s="5" t="s">
        <v>309</v>
      </c>
      <c r="D78" s="5" t="s">
        <v>198</v>
      </c>
      <c r="E78" s="5" t="s">
        <v>205</v>
      </c>
      <c r="F78" s="6">
        <v>42491</v>
      </c>
      <c r="G78" s="5" t="s">
        <v>279</v>
      </c>
      <c r="H78" s="5">
        <v>100000</v>
      </c>
      <c r="I78" s="5">
        <v>6150000</v>
      </c>
      <c r="J78" s="5">
        <v>1000000</v>
      </c>
      <c r="K78" s="5">
        <v>900000</v>
      </c>
      <c r="L78" s="5">
        <v>3500000</v>
      </c>
    </row>
    <row r="79" spans="1:12" x14ac:dyDescent="0.25">
      <c r="A79" s="5">
        <f t="shared" si="1"/>
        <v>78</v>
      </c>
      <c r="B79" s="5" t="s">
        <v>77</v>
      </c>
      <c r="C79" s="5" t="s">
        <v>309</v>
      </c>
      <c r="D79" s="5" t="s">
        <v>126</v>
      </c>
      <c r="E79" s="5" t="s">
        <v>206</v>
      </c>
      <c r="F79" s="6">
        <v>42491</v>
      </c>
      <c r="G79" s="5" t="s">
        <v>280</v>
      </c>
      <c r="H79" s="5">
        <v>100000</v>
      </c>
      <c r="I79" s="5">
        <v>6250000</v>
      </c>
      <c r="J79" s="5">
        <v>6000000</v>
      </c>
      <c r="K79" s="5">
        <v>700000</v>
      </c>
      <c r="L79" s="5">
        <v>9000000</v>
      </c>
    </row>
    <row r="80" spans="1:12" x14ac:dyDescent="0.25">
      <c r="A80" s="5">
        <f t="shared" si="1"/>
        <v>79</v>
      </c>
      <c r="B80" s="5" t="s">
        <v>78</v>
      </c>
      <c r="C80" s="5" t="s">
        <v>309</v>
      </c>
      <c r="D80" s="5" t="s">
        <v>174</v>
      </c>
      <c r="E80" s="5" t="s">
        <v>207</v>
      </c>
      <c r="F80" s="6">
        <v>42491</v>
      </c>
      <c r="G80" s="5" t="s">
        <v>281</v>
      </c>
      <c r="H80" s="5">
        <v>100000</v>
      </c>
      <c r="I80" s="5">
        <v>6250000</v>
      </c>
      <c r="J80" s="5">
        <v>7000000</v>
      </c>
      <c r="K80" s="5">
        <v>0</v>
      </c>
      <c r="L80" s="5">
        <v>0</v>
      </c>
    </row>
    <row r="81" spans="1:12" x14ac:dyDescent="0.25">
      <c r="A81" s="5">
        <f t="shared" si="1"/>
        <v>80</v>
      </c>
      <c r="B81" s="5" t="s">
        <v>79</v>
      </c>
      <c r="C81" s="5" t="s">
        <v>309</v>
      </c>
      <c r="D81" s="5" t="s">
        <v>102</v>
      </c>
      <c r="E81" s="5" t="s">
        <v>208</v>
      </c>
      <c r="F81" s="6">
        <v>42491</v>
      </c>
      <c r="G81" s="5" t="s">
        <v>282</v>
      </c>
      <c r="H81" s="5">
        <v>100000</v>
      </c>
      <c r="I81" s="5">
        <v>6150000</v>
      </c>
      <c r="J81" s="5">
        <v>6150000</v>
      </c>
      <c r="K81" s="5">
        <v>0</v>
      </c>
      <c r="L81" s="5">
        <v>0</v>
      </c>
    </row>
    <row r="82" spans="1:12" x14ac:dyDescent="0.25">
      <c r="A82" s="5">
        <f t="shared" si="1"/>
        <v>81</v>
      </c>
      <c r="B82" s="5" t="s">
        <v>80</v>
      </c>
      <c r="C82" s="5" t="s">
        <v>309</v>
      </c>
      <c r="D82" s="5" t="s">
        <v>128</v>
      </c>
      <c r="E82" s="5" t="s">
        <v>209</v>
      </c>
      <c r="F82" s="6">
        <v>42491</v>
      </c>
      <c r="G82" s="5" t="s">
        <v>283</v>
      </c>
      <c r="H82" s="5">
        <v>100000</v>
      </c>
      <c r="I82" s="5">
        <v>6250000</v>
      </c>
      <c r="J82" s="5">
        <v>7500000</v>
      </c>
      <c r="K82" s="5">
        <v>0</v>
      </c>
      <c r="L82" s="5">
        <v>0</v>
      </c>
    </row>
    <row r="83" spans="1:12" x14ac:dyDescent="0.25">
      <c r="A83" s="5">
        <f t="shared" si="1"/>
        <v>82</v>
      </c>
      <c r="B83" s="5" t="s">
        <v>81</v>
      </c>
      <c r="C83" s="5" t="s">
        <v>310</v>
      </c>
      <c r="D83" s="5" t="s">
        <v>166</v>
      </c>
      <c r="E83" s="5" t="s">
        <v>210</v>
      </c>
      <c r="F83" s="6">
        <v>42491</v>
      </c>
      <c r="G83" s="5" t="s">
        <v>284</v>
      </c>
      <c r="H83" s="5">
        <v>100000</v>
      </c>
      <c r="I83" s="5">
        <v>6250000</v>
      </c>
      <c r="J83" s="5">
        <v>21500000</v>
      </c>
      <c r="K83" s="5">
        <v>0</v>
      </c>
      <c r="L83" s="5">
        <v>0</v>
      </c>
    </row>
    <row r="84" spans="1:12" x14ac:dyDescent="0.25">
      <c r="A84" s="5">
        <f t="shared" si="1"/>
        <v>83</v>
      </c>
      <c r="B84" s="5" t="s">
        <v>82</v>
      </c>
      <c r="C84" s="5" t="s">
        <v>309</v>
      </c>
      <c r="D84" s="5" t="s">
        <v>174</v>
      </c>
      <c r="E84" s="5" t="s">
        <v>211</v>
      </c>
      <c r="F84" s="6">
        <v>42491</v>
      </c>
      <c r="G84" s="5" t="s">
        <v>285</v>
      </c>
      <c r="H84" s="5">
        <v>100000</v>
      </c>
      <c r="I84" s="5">
        <v>6250000</v>
      </c>
      <c r="J84" s="5">
        <v>1500000</v>
      </c>
      <c r="K84" s="5">
        <v>1200000</v>
      </c>
      <c r="L84" s="5">
        <v>0</v>
      </c>
    </row>
    <row r="85" spans="1:12" x14ac:dyDescent="0.25">
      <c r="A85" s="5">
        <f t="shared" si="1"/>
        <v>84</v>
      </c>
      <c r="B85" s="5" t="s">
        <v>83</v>
      </c>
      <c r="C85" s="5" t="s">
        <v>309</v>
      </c>
      <c r="D85" s="5" t="s">
        <v>116</v>
      </c>
      <c r="E85" s="5" t="s">
        <v>212</v>
      </c>
      <c r="F85" s="6">
        <v>42491</v>
      </c>
      <c r="G85" s="5" t="s">
        <v>286</v>
      </c>
      <c r="H85" s="5">
        <v>100000</v>
      </c>
      <c r="I85" s="5">
        <v>6250000</v>
      </c>
      <c r="J85" s="5">
        <v>75740000</v>
      </c>
      <c r="K85" s="5">
        <v>0</v>
      </c>
      <c r="L85" s="5">
        <v>0</v>
      </c>
    </row>
    <row r="86" spans="1:12" x14ac:dyDescent="0.25">
      <c r="A86" s="5">
        <f t="shared" si="1"/>
        <v>85</v>
      </c>
      <c r="B86" s="5" t="s">
        <v>84</v>
      </c>
      <c r="C86" s="5" t="s">
        <v>309</v>
      </c>
      <c r="D86" s="5" t="s">
        <v>126</v>
      </c>
      <c r="E86" s="5" t="s">
        <v>213</v>
      </c>
      <c r="F86" s="6">
        <v>42491</v>
      </c>
      <c r="G86" s="5" t="s">
        <v>227</v>
      </c>
      <c r="H86" s="5">
        <v>100000</v>
      </c>
      <c r="I86" s="5">
        <v>6250000</v>
      </c>
      <c r="J86" s="5">
        <v>98500000</v>
      </c>
      <c r="K86" s="5">
        <v>900000</v>
      </c>
      <c r="L86" s="5">
        <v>0</v>
      </c>
    </row>
    <row r="87" spans="1:12" x14ac:dyDescent="0.25">
      <c r="A87" s="5">
        <f t="shared" si="1"/>
        <v>86</v>
      </c>
      <c r="B87" s="5" t="s">
        <v>85</v>
      </c>
      <c r="C87" s="5" t="s">
        <v>309</v>
      </c>
      <c r="D87" s="5" t="s">
        <v>126</v>
      </c>
      <c r="E87" s="5" t="s">
        <v>214</v>
      </c>
      <c r="F87" s="6">
        <v>42491</v>
      </c>
      <c r="G87" s="5" t="s">
        <v>287</v>
      </c>
      <c r="H87" s="5">
        <v>100000</v>
      </c>
      <c r="I87" s="5">
        <v>6250000</v>
      </c>
      <c r="J87" s="5">
        <v>4500000</v>
      </c>
      <c r="K87" s="5">
        <v>900000</v>
      </c>
      <c r="L87" s="5">
        <v>0</v>
      </c>
    </row>
    <row r="88" spans="1:12" x14ac:dyDescent="0.25">
      <c r="A88" s="5">
        <f t="shared" si="1"/>
        <v>87</v>
      </c>
      <c r="B88" s="5" t="s">
        <v>86</v>
      </c>
      <c r="C88" s="5" t="s">
        <v>309</v>
      </c>
      <c r="D88" s="5" t="s">
        <v>215</v>
      </c>
      <c r="E88" s="5" t="s">
        <v>216</v>
      </c>
      <c r="F88" s="6">
        <v>43191</v>
      </c>
      <c r="G88" s="5" t="s">
        <v>288</v>
      </c>
      <c r="H88" s="5">
        <v>100000</v>
      </c>
      <c r="I88" s="5">
        <v>5100000</v>
      </c>
      <c r="J88" s="5">
        <v>1300000</v>
      </c>
      <c r="K88" s="5">
        <v>1400000</v>
      </c>
      <c r="L88" s="5">
        <v>8333331</v>
      </c>
    </row>
    <row r="89" spans="1:12" x14ac:dyDescent="0.25">
      <c r="A89" s="5">
        <f t="shared" si="1"/>
        <v>88</v>
      </c>
      <c r="B89" s="5" t="s">
        <v>87</v>
      </c>
      <c r="C89" s="5" t="s">
        <v>309</v>
      </c>
      <c r="D89" s="5" t="s">
        <v>126</v>
      </c>
      <c r="E89" s="5" t="s">
        <v>217</v>
      </c>
      <c r="F89" s="6">
        <v>42491</v>
      </c>
      <c r="G89" s="5" t="s">
        <v>289</v>
      </c>
      <c r="H89" s="5">
        <v>100000</v>
      </c>
      <c r="I89" s="5">
        <v>6250000</v>
      </c>
      <c r="J89" s="5">
        <v>3500000</v>
      </c>
      <c r="K89" s="5">
        <v>0</v>
      </c>
      <c r="L89" s="5">
        <v>0</v>
      </c>
    </row>
    <row r="90" spans="1:12" x14ac:dyDescent="0.25">
      <c r="A90" s="5">
        <f t="shared" si="1"/>
        <v>89</v>
      </c>
      <c r="B90" s="5" t="s">
        <v>88</v>
      </c>
      <c r="C90" s="5" t="s">
        <v>309</v>
      </c>
      <c r="D90" s="5" t="s">
        <v>116</v>
      </c>
      <c r="E90" s="5" t="s">
        <v>218</v>
      </c>
      <c r="F90" s="6">
        <v>42491</v>
      </c>
      <c r="G90" s="5" t="s">
        <v>290</v>
      </c>
      <c r="H90" s="5">
        <v>100000</v>
      </c>
      <c r="I90" s="5">
        <v>6250000</v>
      </c>
      <c r="J90" s="5">
        <v>101250000</v>
      </c>
      <c r="K90" s="5">
        <v>0</v>
      </c>
      <c r="L90" s="5">
        <v>0</v>
      </c>
    </row>
    <row r="91" spans="1:12" x14ac:dyDescent="0.25">
      <c r="A91" s="5">
        <f t="shared" si="1"/>
        <v>90</v>
      </c>
      <c r="B91" s="5" t="s">
        <v>89</v>
      </c>
      <c r="C91" s="5" t="s">
        <v>310</v>
      </c>
      <c r="D91" s="5" t="s">
        <v>128</v>
      </c>
      <c r="E91" s="5" t="s">
        <v>219</v>
      </c>
      <c r="F91" s="6">
        <v>42491</v>
      </c>
      <c r="G91" s="5" t="s">
        <v>291</v>
      </c>
      <c r="H91" s="5">
        <v>100000</v>
      </c>
      <c r="I91" s="5">
        <v>6250000</v>
      </c>
      <c r="J91" s="5">
        <v>100000</v>
      </c>
      <c r="K91" s="5">
        <v>480000</v>
      </c>
      <c r="L91" s="5">
        <v>0</v>
      </c>
    </row>
    <row r="92" spans="1:12" x14ac:dyDescent="0.25">
      <c r="A92" s="5">
        <f t="shared" si="1"/>
        <v>91</v>
      </c>
      <c r="B92" s="5" t="s">
        <v>90</v>
      </c>
      <c r="C92" s="5" t="s">
        <v>309</v>
      </c>
      <c r="D92" s="5" t="s">
        <v>116</v>
      </c>
      <c r="E92" s="5" t="s">
        <v>220</v>
      </c>
      <c r="F92" s="6">
        <v>42491</v>
      </c>
      <c r="G92" s="5" t="s">
        <v>292</v>
      </c>
      <c r="H92" s="5">
        <v>100000</v>
      </c>
      <c r="I92" s="5">
        <v>5800000</v>
      </c>
      <c r="J92" s="5">
        <v>2000000</v>
      </c>
      <c r="K92" s="5">
        <v>0</v>
      </c>
      <c r="L92" s="5">
        <v>0</v>
      </c>
    </row>
    <row r="93" spans="1:12" x14ac:dyDescent="0.25">
      <c r="A93" s="5">
        <f t="shared" si="1"/>
        <v>92</v>
      </c>
      <c r="B93" s="5" t="s">
        <v>91</v>
      </c>
      <c r="C93" s="5" t="s">
        <v>309</v>
      </c>
      <c r="D93" s="5" t="s">
        <v>159</v>
      </c>
      <c r="E93" s="5" t="s">
        <v>221</v>
      </c>
      <c r="F93" s="6">
        <v>42491</v>
      </c>
      <c r="G93" s="5" t="s">
        <v>293</v>
      </c>
      <c r="H93" s="5">
        <v>100000</v>
      </c>
      <c r="I93" s="5">
        <v>6250000</v>
      </c>
      <c r="J93" s="5">
        <v>2000000</v>
      </c>
      <c r="K93" s="5">
        <v>0</v>
      </c>
      <c r="L93" s="5">
        <v>0</v>
      </c>
    </row>
    <row r="94" spans="1:12" x14ac:dyDescent="0.25">
      <c r="A94" s="5">
        <f t="shared" si="1"/>
        <v>93</v>
      </c>
      <c r="B94" s="5" t="s">
        <v>92</v>
      </c>
      <c r="C94" s="5" t="s">
        <v>309</v>
      </c>
      <c r="D94" s="5" t="s">
        <v>198</v>
      </c>
      <c r="E94" s="5" t="s">
        <v>222</v>
      </c>
      <c r="F94" s="6">
        <v>42491</v>
      </c>
      <c r="G94" s="5" t="s">
        <v>294</v>
      </c>
      <c r="H94" s="5">
        <v>100000</v>
      </c>
      <c r="I94" s="5">
        <v>6150000</v>
      </c>
      <c r="J94" s="5">
        <v>6150000</v>
      </c>
      <c r="K94" s="5">
        <v>0</v>
      </c>
      <c r="L94" s="5">
        <v>0</v>
      </c>
    </row>
    <row r="95" spans="1:12" x14ac:dyDescent="0.25">
      <c r="A95" s="5">
        <f t="shared" si="1"/>
        <v>94</v>
      </c>
      <c r="B95" s="5" t="s">
        <v>93</v>
      </c>
      <c r="C95" s="5" t="s">
        <v>309</v>
      </c>
      <c r="D95" s="5" t="s">
        <v>174</v>
      </c>
      <c r="E95" s="5" t="s">
        <v>223</v>
      </c>
      <c r="F95" s="6">
        <v>42491</v>
      </c>
      <c r="G95" s="5" t="s">
        <v>295</v>
      </c>
      <c r="H95" s="5">
        <v>100000</v>
      </c>
      <c r="I95" s="5">
        <v>6250000</v>
      </c>
      <c r="J95" s="5">
        <v>3050000</v>
      </c>
      <c r="K95" s="5">
        <v>0</v>
      </c>
      <c r="L95" s="5">
        <v>0</v>
      </c>
    </row>
    <row r="96" spans="1:12" x14ac:dyDescent="0.25">
      <c r="A96" s="5">
        <f t="shared" si="1"/>
        <v>95</v>
      </c>
      <c r="B96" s="5" t="s">
        <v>94</v>
      </c>
      <c r="C96" s="5" t="s">
        <v>309</v>
      </c>
      <c r="D96" s="5" t="s">
        <v>174</v>
      </c>
      <c r="E96" s="5" t="s">
        <v>224</v>
      </c>
      <c r="F96" s="6">
        <v>42491</v>
      </c>
      <c r="G96" s="5" t="s">
        <v>296</v>
      </c>
      <c r="H96" s="5">
        <v>100000</v>
      </c>
      <c r="I96" s="5">
        <v>6250000</v>
      </c>
      <c r="J96" s="5">
        <v>650000</v>
      </c>
      <c r="K96" s="5">
        <v>0</v>
      </c>
      <c r="L96" s="5">
        <v>0</v>
      </c>
    </row>
    <row r="97" spans="1:12" x14ac:dyDescent="0.25">
      <c r="A97" s="5">
        <f t="shared" si="1"/>
        <v>96</v>
      </c>
      <c r="B97" s="5" t="s">
        <v>95</v>
      </c>
      <c r="C97" s="5" t="s">
        <v>309</v>
      </c>
      <c r="D97" s="5" t="s">
        <v>225</v>
      </c>
      <c r="E97" s="5" t="s">
        <v>226</v>
      </c>
      <c r="F97" s="6">
        <v>42491</v>
      </c>
      <c r="G97" s="5" t="s">
        <v>297</v>
      </c>
      <c r="H97" s="5">
        <v>100000</v>
      </c>
      <c r="I97" s="5">
        <v>6250000</v>
      </c>
      <c r="J97" s="5">
        <v>9100000</v>
      </c>
      <c r="K97" s="5">
        <v>100000</v>
      </c>
      <c r="L97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 tambunan</dc:creator>
  <cp:lastModifiedBy>evi tambunan</cp:lastModifiedBy>
  <dcterms:created xsi:type="dcterms:W3CDTF">2026-09-24T04:26:53Z</dcterms:created>
  <dcterms:modified xsi:type="dcterms:W3CDTF">2026-09-24T07:58:11Z</dcterms:modified>
</cp:coreProperties>
</file>